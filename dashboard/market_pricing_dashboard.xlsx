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itsum Teklu\financial-market-pricing-analysis\dashboard\"/>
    </mc:Choice>
  </mc:AlternateContent>
  <xr:revisionPtr revIDLastSave="0" documentId="13_ncr:9_{B697E46F-15B7-4FBF-B1E7-1B2F755D1283}" xr6:coauthVersionLast="47" xr6:coauthVersionMax="47" xr10:uidLastSave="{00000000-0000-0000-0000-000000000000}"/>
  <bookViews>
    <workbookView xWindow="-108" yWindow="-108" windowWidth="23256" windowHeight="12456" activeTab="2" xr2:uid="{101258D7-536B-4C3B-9868-0D7D24B2C4C7}"/>
  </bookViews>
  <sheets>
    <sheet name="market_pricing_data" sheetId="1" r:id="rId1"/>
    <sheet name="Pivot Tables" sheetId="2" r:id="rId2"/>
    <sheet name="Dashboard" sheetId="3" r:id="rId3"/>
  </sheets>
  <calcPr calcId="0"/>
  <pivotCaches>
    <pivotCache cacheId="18" r:id="rId4"/>
  </pivotCaches>
</workbook>
</file>

<file path=xl/calcChain.xml><?xml version="1.0" encoding="utf-8"?>
<calcChain xmlns="http://schemas.openxmlformats.org/spreadsheetml/2006/main">
  <c r="E4" i="3" l="1"/>
  <c r="C4" i="3"/>
  <c r="A4" i="3"/>
</calcChain>
</file>

<file path=xl/sharedStrings.xml><?xml version="1.0" encoding="utf-8"?>
<sst xmlns="http://schemas.openxmlformats.org/spreadsheetml/2006/main" count="4398" uniqueCount="68">
  <si>
    <t>pricing_date</t>
  </si>
  <si>
    <t>security_id</t>
  </si>
  <si>
    <t>ticker</t>
  </si>
  <si>
    <t>security_name</t>
  </si>
  <si>
    <t>asset_class</t>
  </si>
  <si>
    <t>currency</t>
  </si>
  <si>
    <t>pricing_vendor</t>
  </si>
  <si>
    <t>previous_close</t>
  </si>
  <si>
    <t>current_price</t>
  </si>
  <si>
    <t>daily_change_pct</t>
  </si>
  <si>
    <t>volume</t>
  </si>
  <si>
    <t>pricing_status</t>
  </si>
  <si>
    <t>exception_flag</t>
  </si>
  <si>
    <t>exception_reason</t>
  </si>
  <si>
    <t>SEC001</t>
  </si>
  <si>
    <t>AAPL</t>
  </si>
  <si>
    <t>Apple Inc.</t>
  </si>
  <si>
    <t>Equity</t>
  </si>
  <si>
    <t>USD</t>
  </si>
  <si>
    <t>Bloomberg</t>
  </si>
  <si>
    <t>Reviewed</t>
  </si>
  <si>
    <t>No</t>
  </si>
  <si>
    <t>Normal price movement</t>
  </si>
  <si>
    <t>Reuters</t>
  </si>
  <si>
    <t>Needs Review</t>
  </si>
  <si>
    <t>Yes</t>
  </si>
  <si>
    <t>Large market movement</t>
  </si>
  <si>
    <t>Internal Feed</t>
  </si>
  <si>
    <t>Possible stale price</t>
  </si>
  <si>
    <t>ICE Data Services</t>
  </si>
  <si>
    <t>Missing vendor price</t>
  </si>
  <si>
    <t>SEC002</t>
  </si>
  <si>
    <t>MSFT</t>
  </si>
  <si>
    <t>Microsoft Corp.</t>
  </si>
  <si>
    <t>SEC003</t>
  </si>
  <si>
    <t>JPM</t>
  </si>
  <si>
    <t>JPMorgan Chase &amp; Co.</t>
  </si>
  <si>
    <t>SEC004</t>
  </si>
  <si>
    <t>TSLA</t>
  </si>
  <si>
    <t>Tesla Inc.</t>
  </si>
  <si>
    <t>SEC005</t>
  </si>
  <si>
    <t>SPY</t>
  </si>
  <si>
    <t>SPDR S&amp;P 500 ETF</t>
  </si>
  <si>
    <t>ETF</t>
  </si>
  <si>
    <t>SEC006</t>
  </si>
  <si>
    <t>QQQ</t>
  </si>
  <si>
    <t>Invesco QQQ Trust</t>
  </si>
  <si>
    <t>SEC007</t>
  </si>
  <si>
    <t>BTC-USD</t>
  </si>
  <si>
    <t>Bitcoin USD</t>
  </si>
  <si>
    <t>Crypto</t>
  </si>
  <si>
    <t>SEC008</t>
  </si>
  <si>
    <t>BND</t>
  </si>
  <si>
    <t>Vanguard Total Bond Market ETF</t>
  </si>
  <si>
    <t>Fixed Income ETF</t>
  </si>
  <si>
    <t>Row Labels</t>
  </si>
  <si>
    <t>Grand Total</t>
  </si>
  <si>
    <t>Count of pricing_status</t>
  </si>
  <si>
    <t>Count of exception_reason</t>
  </si>
  <si>
    <t>Count of exception_flag</t>
  </si>
  <si>
    <t>Max of daily_change_pct</t>
  </si>
  <si>
    <t>Financial Market Pricing Analysis Dashboard</t>
  </si>
  <si>
    <t>Total Pricing Records</t>
  </si>
  <si>
    <t>Total Exceptions</t>
  </si>
  <si>
    <t>Excetpion Rate</t>
  </si>
  <si>
    <t>Most Common Exception</t>
  </si>
  <si>
    <t>Largest market movement</t>
  </si>
  <si>
    <t>Possible state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</si>
</sst>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[market_pricing_dashboard.xlsx]Pivot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Pricing Status</a:t>
            </a:r>
            <a:r>
              <a:rPr lang="en-US" sz="1800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Tables'!$A$2:$A$4</c:f>
              <c:strCache>
                <c:ptCount val="2"/>
                <c:pt idx="0">
                  <c:v>Needs Review</c:v>
                </c:pt>
                <c:pt idx="1">
                  <c:v>Reviewed</c:v>
                </c:pt>
              </c:strCache>
            </c:strRef>
          </c:cat>
          <c:val>
            <c:numRef>
              <c:f>'Pivot Tables'!$B$2:$B$4</c:f>
              <c:numCache>
                <c:formatCode>General</c:formatCode>
                <c:ptCount val="2"/>
                <c:pt idx="0">
                  <c:v>21</c:v>
                </c:pt>
                <c:pt idx="1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6-4176-8C11-F61B54B68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73424"/>
        <c:axId val="32576304"/>
      </c:barChart>
      <c:catAx>
        <c:axId val="325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6304"/>
        <c:crosses val="autoZero"/>
        <c:auto val="1"/>
        <c:lblAlgn val="ctr"/>
        <c:lblOffset val="100"/>
        <c:noMultiLvlLbl val="0"/>
      </c:catAx>
      <c:valAx>
        <c:axId val="325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[market_pricing_dashboard.xlsx]Pivot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Exceptions by reason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Tables'!$D$2:$D$5</c:f>
              <c:strCache>
                <c:ptCount val="3"/>
                <c:pt idx="0">
                  <c:v>Large market movement</c:v>
                </c:pt>
                <c:pt idx="1">
                  <c:v>Missing vendor price</c:v>
                </c:pt>
                <c:pt idx="2">
                  <c:v>Possible stale price</c:v>
                </c:pt>
              </c:strCache>
            </c:strRef>
          </c:cat>
          <c:val>
            <c:numRef>
              <c:f>'Pivot Tables'!$E$2:$E$5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8-4999-92D0-12236896C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00304"/>
        <c:axId val="32601744"/>
      </c:barChart>
      <c:catAx>
        <c:axId val="3260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1744"/>
        <c:crosses val="autoZero"/>
        <c:auto val="1"/>
        <c:lblAlgn val="ctr"/>
        <c:lblOffset val="100"/>
        <c:noMultiLvlLbl val="0"/>
      </c:catAx>
      <c:valAx>
        <c:axId val="326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03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[market_pricing_dashboard.xlsx]Pivot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Exceptions</a:t>
            </a:r>
            <a:r>
              <a:rPr lang="en-US" sz="1800" baseline="0"/>
              <a:t> by Asset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Tables'!$G$4:$G$8</c:f>
              <c:strCache>
                <c:ptCount val="4"/>
                <c:pt idx="0">
                  <c:v>Crypto</c:v>
                </c:pt>
                <c:pt idx="1">
                  <c:v>Equity</c:v>
                </c:pt>
                <c:pt idx="2">
                  <c:v>ETF</c:v>
                </c:pt>
                <c:pt idx="3">
                  <c:v>Fixed Income ETF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D-4E82-95DB-D93A34689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00304"/>
        <c:axId val="32601744"/>
      </c:barChart>
      <c:catAx>
        <c:axId val="3260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1744"/>
        <c:crosses val="autoZero"/>
        <c:auto val="1"/>
        <c:lblAlgn val="ctr"/>
        <c:lblOffset val="100"/>
        <c:noMultiLvlLbl val="0"/>
      </c:catAx>
      <c:valAx>
        <c:axId val="326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[market_pricing_dashboard.xlsx]Pivot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Exceptions by Vendors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Tables'!$J$4:$J$8</c:f>
              <c:strCache>
                <c:ptCount val="4"/>
                <c:pt idx="0">
                  <c:v>Bloomberg</c:v>
                </c:pt>
                <c:pt idx="1">
                  <c:v>ICE Data Services</c:v>
                </c:pt>
                <c:pt idx="2">
                  <c:v>Internal Feed</c:v>
                </c:pt>
                <c:pt idx="3">
                  <c:v>Reuters</c:v>
                </c:pt>
              </c:strCache>
            </c:strRef>
          </c:cat>
          <c:val>
            <c:numRef>
              <c:f>'Pivot Tables'!$K$4:$K$8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4-4E3E-8128-5C697851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544144"/>
        <c:axId val="32538384"/>
      </c:barChart>
      <c:catAx>
        <c:axId val="3254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8384"/>
        <c:crosses val="autoZero"/>
        <c:auto val="1"/>
        <c:lblAlgn val="ctr"/>
        <c:lblOffset val="100"/>
        <c:noMultiLvlLbl val="0"/>
      </c:catAx>
      <c:valAx>
        <c:axId val="325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[market_pricing_dashboard.xlsx]Pivot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Largest</a:t>
            </a:r>
            <a:r>
              <a:rPr lang="en-US" sz="1800" baseline="0"/>
              <a:t> Daily Price Movements</a:t>
            </a:r>
          </a:p>
        </c:rich>
      </c:tx>
      <c:layout>
        <c:manualLayout>
          <c:xMode val="edge"/>
          <c:yMode val="edge"/>
          <c:x val="0.45807216723368577"/>
          <c:y val="2.3893565028509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Tables'!$M$2:$M$26</c:f>
              <c:multiLvlStrCache>
                <c:ptCount val="8"/>
                <c:lvl>
                  <c:pt idx="0">
                    <c:v>Equity</c:v>
                  </c:pt>
                  <c:pt idx="1">
                    <c:v>Fixed Income ETF</c:v>
                  </c:pt>
                  <c:pt idx="2">
                    <c:v>Crypto</c:v>
                  </c:pt>
                  <c:pt idx="3">
                    <c:v>Equity</c:v>
                  </c:pt>
                  <c:pt idx="4">
                    <c:v>Equity</c:v>
                  </c:pt>
                  <c:pt idx="5">
                    <c:v>ETF</c:v>
                  </c:pt>
                  <c:pt idx="6">
                    <c:v>ETF</c:v>
                  </c:pt>
                  <c:pt idx="7">
                    <c:v>Equity</c:v>
                  </c:pt>
                </c:lvl>
                <c:lvl>
                  <c:pt idx="0">
                    <c:v>Apple Inc.</c:v>
                  </c:pt>
                  <c:pt idx="1">
                    <c:v>Vanguard Total Bond Market ETF</c:v>
                  </c:pt>
                  <c:pt idx="2">
                    <c:v>Bitcoin USD</c:v>
                  </c:pt>
                  <c:pt idx="3">
                    <c:v>JPMorgan Chase &amp; Co.</c:v>
                  </c:pt>
                  <c:pt idx="4">
                    <c:v>Microsoft Corp.</c:v>
                  </c:pt>
                  <c:pt idx="5">
                    <c:v>Invesco QQQ Trust</c:v>
                  </c:pt>
                  <c:pt idx="6">
                    <c:v>SPDR S&amp;P 500 ETF</c:v>
                  </c:pt>
                  <c:pt idx="7">
                    <c:v>Tesla Inc.</c:v>
                  </c:pt>
                </c:lvl>
                <c:lvl>
                  <c:pt idx="0">
                    <c:v>AAPL</c:v>
                  </c:pt>
                  <c:pt idx="1">
                    <c:v>BND</c:v>
                  </c:pt>
                  <c:pt idx="2">
                    <c:v>BTC-USD</c:v>
                  </c:pt>
                  <c:pt idx="3">
                    <c:v>JPM</c:v>
                  </c:pt>
                  <c:pt idx="4">
                    <c:v>MSFT</c:v>
                  </c:pt>
                  <c:pt idx="5">
                    <c:v>QQQ</c:v>
                  </c:pt>
                  <c:pt idx="6">
                    <c:v>SPY</c:v>
                  </c:pt>
                  <c:pt idx="7">
                    <c:v>TSLA</c:v>
                  </c:pt>
                </c:lvl>
              </c:multiLvlStrCache>
            </c:multiLvlStrRef>
          </c:cat>
          <c:val>
            <c:numRef>
              <c:f>'Pivot Tables'!$N$2:$N$26</c:f>
              <c:numCache>
                <c:formatCode>General</c:formatCode>
                <c:ptCount val="8"/>
                <c:pt idx="0">
                  <c:v>10.199999999999999</c:v>
                </c:pt>
                <c:pt idx="1">
                  <c:v>10.199999999999999</c:v>
                </c:pt>
                <c:pt idx="2">
                  <c:v>7.8</c:v>
                </c:pt>
                <c:pt idx="3">
                  <c:v>10.199999999999999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12F-AB42-11098EC9F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543184"/>
        <c:axId val="32543664"/>
      </c:barChart>
      <c:catAx>
        <c:axId val="3254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3664"/>
        <c:crosses val="autoZero"/>
        <c:auto val="1"/>
        <c:lblAlgn val="ctr"/>
        <c:lblOffset val="100"/>
        <c:noMultiLvlLbl val="0"/>
      </c:catAx>
      <c:valAx>
        <c:axId val="325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7620</xdr:rowOff>
    </xdr:from>
    <xdr:to>
      <xdr:col>4</xdr:col>
      <xdr:colOff>127000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42116-0414-418E-ACF8-EB817DBE0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6</xdr:row>
      <xdr:rowOff>40640</xdr:rowOff>
    </xdr:from>
    <xdr:to>
      <xdr:col>12</xdr:col>
      <xdr:colOff>469900</xdr:colOff>
      <xdr:row>26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927AD-F1D2-4C40-A339-A9CD710C4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50800</xdr:rowOff>
    </xdr:from>
    <xdr:to>
      <xdr:col>4</xdr:col>
      <xdr:colOff>12700</xdr:colOff>
      <xdr:row>49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66EAAD-8DCB-4D0C-82A9-A1F97CDCB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452120</xdr:colOff>
      <xdr:row>26</xdr:row>
      <xdr:rowOff>167640</xdr:rowOff>
    </xdr:from>
    <xdr:to>
      <xdr:col>12</xdr:col>
      <xdr:colOff>520700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BA27AC-5CA7-40AC-9FF6-382ACFDC2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177800</xdr:colOff>
      <xdr:row>5</xdr:row>
      <xdr:rowOff>63500</xdr:rowOff>
    </xdr:from>
    <xdr:to>
      <xdr:col>30</xdr:col>
      <xdr:colOff>190500</xdr:colOff>
      <xdr:row>39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75358B-B081-42C7-A7B7-9681CC2C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eket" refreshedDate="46167.514684837966" createdVersion="8" refreshedVersion="8" minRefreshableVersion="3" recordCount="480" xr:uid="{9B8CB635-92DE-488C-84FE-F9E9D772FE01}">
  <cacheSource type="worksheet">
    <worksheetSource name="PricingData"/>
  </cacheSource>
  <cacheFields count="14">
    <cacheField name="pricing_date" numFmtId="14">
      <sharedItems containsSemiMixedTypes="0" containsNonDate="0" containsDate="1" containsString="0" minDate="2025-07-01T00:00:00" maxDate="2025-09-23T00:00:00"/>
    </cacheField>
    <cacheField name="security_id" numFmtId="0">
      <sharedItems/>
    </cacheField>
    <cacheField name="ticker" numFmtId="0">
      <sharedItems count="8">
        <s v="AAPL"/>
        <s v="MSFT"/>
        <s v="JPM"/>
        <s v="TSLA"/>
        <s v="SPY"/>
        <s v="QQQ"/>
        <s v="BTC-USD"/>
        <s v="BND"/>
      </sharedItems>
    </cacheField>
    <cacheField name="security_name" numFmtId="0">
      <sharedItems count="8">
        <s v="Apple Inc."/>
        <s v="Microsoft Corp."/>
        <s v="JPMorgan Chase &amp; Co."/>
        <s v="Tesla Inc."/>
        <s v="SPDR S&amp;P 500 ETF"/>
        <s v="Invesco QQQ Trust"/>
        <s v="Bitcoin USD"/>
        <s v="Vanguard Total Bond Market ETF"/>
      </sharedItems>
    </cacheField>
    <cacheField name="asset_class" numFmtId="0">
      <sharedItems count="4">
        <s v="Equity"/>
        <s v="ETF"/>
        <s v="Crypto"/>
        <s v="Fixed Income ETF"/>
      </sharedItems>
    </cacheField>
    <cacheField name="currency" numFmtId="0">
      <sharedItems/>
    </cacheField>
    <cacheField name="pricing_vendor" numFmtId="0">
      <sharedItems count="4">
        <s v="Bloomberg"/>
        <s v="Reuters"/>
        <s v="Internal Feed"/>
        <s v="ICE Data Services"/>
      </sharedItems>
    </cacheField>
    <cacheField name="previous_close" numFmtId="0">
      <sharedItems containsSemiMixedTypes="0" containsString="0" containsNumber="1" minValue="70.62" maxValue="67258.179999999993"/>
    </cacheField>
    <cacheField name="current_price" numFmtId="0">
      <sharedItems containsString="0" containsBlank="1" containsNumber="1" minValue="70.62" maxValue="67258.179999999993"/>
    </cacheField>
    <cacheField name="daily_change_pct" numFmtId="0">
      <sharedItems containsString="0" containsBlank="1" containsNumber="1" minValue="-8.4" maxValue="10.199999999999999"/>
    </cacheField>
    <cacheField name="volume" numFmtId="0">
      <sharedItems containsString="0" containsBlank="1" containsNumber="1" containsInteger="1" minValue="64187" maxValue="4997513"/>
    </cacheField>
    <cacheField name="pricing_status" numFmtId="0">
      <sharedItems count="2">
        <s v="Reviewed"/>
        <s v="Needs Review"/>
      </sharedItems>
    </cacheField>
    <cacheField name="exception_flag" numFmtId="0">
      <sharedItems count="2">
        <s v="No"/>
        <s v="Yes"/>
      </sharedItems>
    </cacheField>
    <cacheField name="exception_reason" numFmtId="0">
      <sharedItems count="4">
        <s v="Normal price movement"/>
        <s v="Large market movement"/>
        <s v="Possible stale price"/>
        <s v="Missing vendor pr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d v="2025-07-01T00:00:00"/>
    <s v="SEC001"/>
    <x v="0"/>
    <x v="0"/>
    <x v="0"/>
    <s v="USD"/>
    <x v="0"/>
    <n v="185"/>
    <n v="180.08"/>
    <n v="-2.66"/>
    <n v="1922427"/>
    <x v="0"/>
    <x v="0"/>
    <x v="0"/>
  </r>
  <r>
    <d v="2025-07-02T00:00:00"/>
    <s v="SEC001"/>
    <x v="0"/>
    <x v="0"/>
    <x v="0"/>
    <s v="USD"/>
    <x v="1"/>
    <n v="180.08"/>
    <n v="182.46"/>
    <n v="1.32"/>
    <n v="4624866"/>
    <x v="0"/>
    <x v="0"/>
    <x v="0"/>
  </r>
  <r>
    <d v="2025-07-03T00:00:00"/>
    <s v="SEC001"/>
    <x v="0"/>
    <x v="0"/>
    <x v="0"/>
    <s v="USD"/>
    <x v="0"/>
    <n v="182.46"/>
    <n v="196.7"/>
    <n v="7.8"/>
    <n v="1884068"/>
    <x v="1"/>
    <x v="1"/>
    <x v="1"/>
  </r>
  <r>
    <d v="2025-07-04T00:00:00"/>
    <s v="SEC001"/>
    <x v="0"/>
    <x v="0"/>
    <x v="0"/>
    <s v="USD"/>
    <x v="1"/>
    <n v="196.7"/>
    <n v="180.17"/>
    <n v="-8.4"/>
    <n v="4621300"/>
    <x v="1"/>
    <x v="1"/>
    <x v="1"/>
  </r>
  <r>
    <d v="2025-07-07T00:00:00"/>
    <s v="SEC001"/>
    <x v="0"/>
    <x v="0"/>
    <x v="0"/>
    <s v="USD"/>
    <x v="2"/>
    <n v="180.17"/>
    <n v="177.35"/>
    <n v="-1.57"/>
    <n v="104515"/>
    <x v="0"/>
    <x v="0"/>
    <x v="0"/>
  </r>
  <r>
    <d v="2025-07-08T00:00:00"/>
    <s v="SEC001"/>
    <x v="0"/>
    <x v="0"/>
    <x v="0"/>
    <s v="USD"/>
    <x v="1"/>
    <n v="177.35"/>
    <n v="179.32"/>
    <n v="1.1100000000000001"/>
    <n v="1354256"/>
    <x v="0"/>
    <x v="0"/>
    <x v="0"/>
  </r>
  <r>
    <d v="2025-07-09T00:00:00"/>
    <s v="SEC001"/>
    <x v="0"/>
    <x v="0"/>
    <x v="0"/>
    <s v="USD"/>
    <x v="1"/>
    <n v="179.32"/>
    <n v="183.91"/>
    <n v="2.56"/>
    <n v="828008"/>
    <x v="0"/>
    <x v="0"/>
    <x v="0"/>
  </r>
  <r>
    <d v="2025-07-10T00:00:00"/>
    <s v="SEC001"/>
    <x v="0"/>
    <x v="0"/>
    <x v="0"/>
    <s v="USD"/>
    <x v="2"/>
    <n v="183.91"/>
    <n v="179.76"/>
    <n v="-2.2599999999999998"/>
    <n v="2268961"/>
    <x v="0"/>
    <x v="0"/>
    <x v="0"/>
  </r>
  <r>
    <d v="2025-07-11T00:00:00"/>
    <s v="SEC001"/>
    <x v="0"/>
    <x v="0"/>
    <x v="0"/>
    <s v="USD"/>
    <x v="0"/>
    <n v="179.76"/>
    <n v="182.07"/>
    <n v="1.29"/>
    <n v="3225376"/>
    <x v="0"/>
    <x v="0"/>
    <x v="0"/>
  </r>
  <r>
    <d v="2025-07-14T00:00:00"/>
    <s v="SEC001"/>
    <x v="0"/>
    <x v="0"/>
    <x v="0"/>
    <s v="USD"/>
    <x v="0"/>
    <n v="182.07"/>
    <n v="182.6"/>
    <n v="0.28999999999999998"/>
    <n v="3083614"/>
    <x v="0"/>
    <x v="0"/>
    <x v="0"/>
  </r>
  <r>
    <d v="2025-07-15T00:00:00"/>
    <s v="SEC001"/>
    <x v="0"/>
    <x v="0"/>
    <x v="0"/>
    <s v="USD"/>
    <x v="1"/>
    <n v="182.6"/>
    <n v="182.6"/>
    <n v="0"/>
    <n v="1961749"/>
    <x v="1"/>
    <x v="1"/>
    <x v="2"/>
  </r>
  <r>
    <d v="2025-07-16T00:00:00"/>
    <s v="SEC001"/>
    <x v="0"/>
    <x v="0"/>
    <x v="0"/>
    <s v="USD"/>
    <x v="3"/>
    <n v="182.6"/>
    <n v="187.56"/>
    <n v="2.72"/>
    <n v="897261"/>
    <x v="0"/>
    <x v="0"/>
    <x v="0"/>
  </r>
  <r>
    <d v="2025-07-17T00:00:00"/>
    <s v="SEC001"/>
    <x v="0"/>
    <x v="0"/>
    <x v="0"/>
    <s v="USD"/>
    <x v="2"/>
    <n v="187.56"/>
    <n v="185.23"/>
    <n v="-1.24"/>
    <n v="3110434"/>
    <x v="0"/>
    <x v="0"/>
    <x v="0"/>
  </r>
  <r>
    <d v="2025-07-18T00:00:00"/>
    <s v="SEC001"/>
    <x v="0"/>
    <x v="0"/>
    <x v="0"/>
    <s v="USD"/>
    <x v="1"/>
    <n v="185.23"/>
    <n v="183.88"/>
    <n v="-0.73"/>
    <n v="2289572"/>
    <x v="0"/>
    <x v="0"/>
    <x v="0"/>
  </r>
  <r>
    <d v="2025-07-21T00:00:00"/>
    <s v="SEC001"/>
    <x v="0"/>
    <x v="0"/>
    <x v="0"/>
    <s v="USD"/>
    <x v="0"/>
    <n v="183.88"/>
    <n v="185.01"/>
    <n v="0.61"/>
    <n v="2103622"/>
    <x v="0"/>
    <x v="0"/>
    <x v="0"/>
  </r>
  <r>
    <d v="2025-07-22T00:00:00"/>
    <s v="SEC001"/>
    <x v="0"/>
    <x v="0"/>
    <x v="0"/>
    <s v="USD"/>
    <x v="1"/>
    <n v="185.01"/>
    <n v="184.62"/>
    <n v="-0.21"/>
    <n v="4722033"/>
    <x v="0"/>
    <x v="0"/>
    <x v="0"/>
  </r>
  <r>
    <d v="2025-07-23T00:00:00"/>
    <s v="SEC001"/>
    <x v="0"/>
    <x v="0"/>
    <x v="0"/>
    <s v="USD"/>
    <x v="1"/>
    <n v="184.62"/>
    <n v="186.53"/>
    <n v="1.03"/>
    <n v="519241"/>
    <x v="0"/>
    <x v="0"/>
    <x v="0"/>
  </r>
  <r>
    <d v="2025-07-24T00:00:00"/>
    <s v="SEC001"/>
    <x v="0"/>
    <x v="0"/>
    <x v="0"/>
    <s v="USD"/>
    <x v="1"/>
    <n v="186.53"/>
    <n v="189.89"/>
    <n v="1.8"/>
    <n v="3415214"/>
    <x v="0"/>
    <x v="0"/>
    <x v="0"/>
  </r>
  <r>
    <d v="2025-07-25T00:00:00"/>
    <s v="SEC001"/>
    <x v="0"/>
    <x v="0"/>
    <x v="0"/>
    <s v="USD"/>
    <x v="3"/>
    <n v="189.89"/>
    <n v="185.27"/>
    <n v="-2.4300000000000002"/>
    <n v="4807851"/>
    <x v="0"/>
    <x v="0"/>
    <x v="0"/>
  </r>
  <r>
    <d v="2025-07-28T00:00:00"/>
    <s v="SEC001"/>
    <x v="0"/>
    <x v="0"/>
    <x v="0"/>
    <s v="USD"/>
    <x v="3"/>
    <n v="185.27"/>
    <n v="182.29"/>
    <n v="-1.61"/>
    <n v="3899128"/>
    <x v="0"/>
    <x v="0"/>
    <x v="0"/>
  </r>
  <r>
    <d v="2025-07-29T00:00:00"/>
    <s v="SEC001"/>
    <x v="0"/>
    <x v="0"/>
    <x v="0"/>
    <s v="USD"/>
    <x v="1"/>
    <n v="182.29"/>
    <n v="179.89"/>
    <n v="-1.32"/>
    <n v="4759097"/>
    <x v="0"/>
    <x v="0"/>
    <x v="0"/>
  </r>
  <r>
    <d v="2025-07-30T00:00:00"/>
    <s v="SEC001"/>
    <x v="0"/>
    <x v="0"/>
    <x v="0"/>
    <s v="USD"/>
    <x v="3"/>
    <n v="179.89"/>
    <n v="182.38"/>
    <n v="1.38"/>
    <n v="4945028"/>
    <x v="0"/>
    <x v="0"/>
    <x v="0"/>
  </r>
  <r>
    <d v="2025-07-31T00:00:00"/>
    <s v="SEC001"/>
    <x v="0"/>
    <x v="0"/>
    <x v="0"/>
    <s v="USD"/>
    <x v="2"/>
    <n v="182.38"/>
    <n v="180.97"/>
    <n v="-0.77"/>
    <n v="1210410"/>
    <x v="0"/>
    <x v="0"/>
    <x v="0"/>
  </r>
  <r>
    <d v="2025-08-01T00:00:00"/>
    <s v="SEC001"/>
    <x v="0"/>
    <x v="0"/>
    <x v="0"/>
    <s v="USD"/>
    <x v="2"/>
    <n v="180.97"/>
    <n v="180.97"/>
    <n v="0"/>
    <n v="969803"/>
    <x v="1"/>
    <x v="1"/>
    <x v="2"/>
  </r>
  <r>
    <d v="2025-08-04T00:00:00"/>
    <s v="SEC001"/>
    <x v="0"/>
    <x v="0"/>
    <x v="0"/>
    <s v="USD"/>
    <x v="1"/>
    <n v="180.97"/>
    <n v="182.26"/>
    <n v="0.71"/>
    <n v="3591334"/>
    <x v="0"/>
    <x v="0"/>
    <x v="0"/>
  </r>
  <r>
    <d v="2025-08-05T00:00:00"/>
    <s v="SEC001"/>
    <x v="0"/>
    <x v="0"/>
    <x v="0"/>
    <s v="USD"/>
    <x v="0"/>
    <n v="182.26"/>
    <n v="181.09"/>
    <n v="-0.65"/>
    <n v="3976287"/>
    <x v="0"/>
    <x v="0"/>
    <x v="0"/>
  </r>
  <r>
    <d v="2025-08-06T00:00:00"/>
    <s v="SEC001"/>
    <x v="0"/>
    <x v="0"/>
    <x v="0"/>
    <s v="USD"/>
    <x v="3"/>
    <n v="181.09"/>
    <n v="185.86"/>
    <n v="2.64"/>
    <n v="146309"/>
    <x v="0"/>
    <x v="0"/>
    <x v="0"/>
  </r>
  <r>
    <d v="2025-08-07T00:00:00"/>
    <s v="SEC001"/>
    <x v="0"/>
    <x v="0"/>
    <x v="0"/>
    <s v="USD"/>
    <x v="0"/>
    <n v="185.86"/>
    <n v="187.76"/>
    <n v="1.02"/>
    <n v="2288291"/>
    <x v="0"/>
    <x v="0"/>
    <x v="0"/>
  </r>
  <r>
    <d v="2025-08-08T00:00:00"/>
    <s v="SEC001"/>
    <x v="0"/>
    <x v="0"/>
    <x v="0"/>
    <s v="USD"/>
    <x v="3"/>
    <n v="187.76"/>
    <n v="183.67"/>
    <n v="-2.1800000000000002"/>
    <n v="3856110"/>
    <x v="0"/>
    <x v="0"/>
    <x v="0"/>
  </r>
  <r>
    <d v="2025-08-11T00:00:00"/>
    <s v="SEC001"/>
    <x v="0"/>
    <x v="0"/>
    <x v="0"/>
    <s v="USD"/>
    <x v="0"/>
    <n v="183.67"/>
    <n v="188.34"/>
    <n v="2.54"/>
    <n v="2259467"/>
    <x v="0"/>
    <x v="0"/>
    <x v="0"/>
  </r>
  <r>
    <d v="2025-08-12T00:00:00"/>
    <s v="SEC001"/>
    <x v="0"/>
    <x v="0"/>
    <x v="0"/>
    <s v="USD"/>
    <x v="1"/>
    <n v="188.34"/>
    <n v="188.42"/>
    <n v="0.04"/>
    <n v="2553536"/>
    <x v="0"/>
    <x v="0"/>
    <x v="0"/>
  </r>
  <r>
    <d v="2025-08-13T00:00:00"/>
    <s v="SEC001"/>
    <x v="0"/>
    <x v="0"/>
    <x v="0"/>
    <s v="USD"/>
    <x v="1"/>
    <n v="188.42"/>
    <n v="184.76"/>
    <n v="-1.94"/>
    <n v="4574639"/>
    <x v="0"/>
    <x v="0"/>
    <x v="0"/>
  </r>
  <r>
    <d v="2025-08-14T00:00:00"/>
    <s v="SEC001"/>
    <x v="0"/>
    <x v="0"/>
    <x v="0"/>
    <s v="USD"/>
    <x v="0"/>
    <n v="184.76"/>
    <n v="185.78"/>
    <n v="0.55000000000000004"/>
    <n v="988414"/>
    <x v="0"/>
    <x v="0"/>
    <x v="0"/>
  </r>
  <r>
    <d v="2025-08-15T00:00:00"/>
    <s v="SEC001"/>
    <x v="0"/>
    <x v="0"/>
    <x v="0"/>
    <s v="USD"/>
    <x v="3"/>
    <n v="185.78"/>
    <n v="189.72"/>
    <n v="2.12"/>
    <n v="2629615"/>
    <x v="0"/>
    <x v="0"/>
    <x v="0"/>
  </r>
  <r>
    <d v="2025-08-18T00:00:00"/>
    <s v="SEC001"/>
    <x v="0"/>
    <x v="0"/>
    <x v="0"/>
    <s v="USD"/>
    <x v="1"/>
    <n v="189.72"/>
    <n v="185.02"/>
    <n v="-2.48"/>
    <n v="710662"/>
    <x v="0"/>
    <x v="0"/>
    <x v="0"/>
  </r>
  <r>
    <d v="2025-08-19T00:00:00"/>
    <s v="SEC001"/>
    <x v="0"/>
    <x v="0"/>
    <x v="0"/>
    <s v="USD"/>
    <x v="0"/>
    <n v="185.02"/>
    <n v="187.43"/>
    <n v="1.3"/>
    <n v="4518663"/>
    <x v="0"/>
    <x v="0"/>
    <x v="0"/>
  </r>
  <r>
    <d v="2025-08-20T00:00:00"/>
    <s v="SEC001"/>
    <x v="0"/>
    <x v="0"/>
    <x v="0"/>
    <s v="USD"/>
    <x v="1"/>
    <n v="187.43"/>
    <n v="183.53"/>
    <n v="-2.08"/>
    <n v="4662086"/>
    <x v="0"/>
    <x v="0"/>
    <x v="0"/>
  </r>
  <r>
    <d v="2025-08-21T00:00:00"/>
    <s v="SEC001"/>
    <x v="0"/>
    <x v="0"/>
    <x v="0"/>
    <s v="USD"/>
    <x v="1"/>
    <n v="183.53"/>
    <n v="181.11"/>
    <n v="-1.32"/>
    <n v="3599538"/>
    <x v="0"/>
    <x v="0"/>
    <x v="0"/>
  </r>
  <r>
    <d v="2025-08-22T00:00:00"/>
    <s v="SEC001"/>
    <x v="0"/>
    <x v="0"/>
    <x v="0"/>
    <s v="USD"/>
    <x v="1"/>
    <n v="181.11"/>
    <n v="185.46"/>
    <n v="2.4"/>
    <n v="1737377"/>
    <x v="0"/>
    <x v="0"/>
    <x v="0"/>
  </r>
  <r>
    <d v="2025-08-25T00:00:00"/>
    <s v="SEC001"/>
    <x v="0"/>
    <x v="0"/>
    <x v="0"/>
    <s v="USD"/>
    <x v="3"/>
    <n v="185.46"/>
    <n v="184.41"/>
    <n v="-0.56999999999999995"/>
    <n v="3182478"/>
    <x v="0"/>
    <x v="0"/>
    <x v="0"/>
  </r>
  <r>
    <d v="2025-08-26T00:00:00"/>
    <s v="SEC001"/>
    <x v="0"/>
    <x v="0"/>
    <x v="0"/>
    <s v="USD"/>
    <x v="2"/>
    <n v="184.41"/>
    <n v="188.54"/>
    <n v="2.2400000000000002"/>
    <n v="2129583"/>
    <x v="0"/>
    <x v="0"/>
    <x v="0"/>
  </r>
  <r>
    <d v="2025-08-27T00:00:00"/>
    <s v="SEC001"/>
    <x v="0"/>
    <x v="0"/>
    <x v="0"/>
    <s v="USD"/>
    <x v="1"/>
    <n v="188.54"/>
    <n v="172.7"/>
    <n v="-8.4"/>
    <n v="4986193"/>
    <x v="1"/>
    <x v="1"/>
    <x v="1"/>
  </r>
  <r>
    <d v="2025-08-28T00:00:00"/>
    <s v="SEC001"/>
    <x v="0"/>
    <x v="0"/>
    <x v="0"/>
    <s v="USD"/>
    <x v="1"/>
    <n v="172.7"/>
    <n v="167.94"/>
    <n v="-2.76"/>
    <n v="543868"/>
    <x v="0"/>
    <x v="0"/>
    <x v="0"/>
  </r>
  <r>
    <d v="2025-08-29T00:00:00"/>
    <s v="SEC001"/>
    <x v="0"/>
    <x v="0"/>
    <x v="0"/>
    <s v="USD"/>
    <x v="1"/>
    <n v="167.94"/>
    <n v="185.07"/>
    <n v="10.199999999999999"/>
    <n v="644394"/>
    <x v="1"/>
    <x v="1"/>
    <x v="1"/>
  </r>
  <r>
    <d v="2025-09-01T00:00:00"/>
    <s v="SEC001"/>
    <x v="0"/>
    <x v="0"/>
    <x v="0"/>
    <s v="USD"/>
    <x v="1"/>
    <n v="185.07"/>
    <n v="182.77"/>
    <n v="-1.24"/>
    <n v="4573422"/>
    <x v="0"/>
    <x v="0"/>
    <x v="0"/>
  </r>
  <r>
    <d v="2025-09-02T00:00:00"/>
    <s v="SEC001"/>
    <x v="0"/>
    <x v="0"/>
    <x v="0"/>
    <s v="USD"/>
    <x v="1"/>
    <n v="182.77"/>
    <n v="185.06"/>
    <n v="1.25"/>
    <n v="4883613"/>
    <x v="0"/>
    <x v="0"/>
    <x v="0"/>
  </r>
  <r>
    <d v="2025-09-03T00:00:00"/>
    <s v="SEC001"/>
    <x v="0"/>
    <x v="0"/>
    <x v="0"/>
    <s v="USD"/>
    <x v="2"/>
    <n v="185.06"/>
    <n v="182.39"/>
    <n v="-1.44"/>
    <n v="3464666"/>
    <x v="0"/>
    <x v="0"/>
    <x v="0"/>
  </r>
  <r>
    <d v="2025-09-04T00:00:00"/>
    <s v="SEC001"/>
    <x v="0"/>
    <x v="0"/>
    <x v="0"/>
    <s v="USD"/>
    <x v="1"/>
    <n v="182.39"/>
    <n v="178.25"/>
    <n v="-2.27"/>
    <n v="3022063"/>
    <x v="0"/>
    <x v="0"/>
    <x v="0"/>
  </r>
  <r>
    <d v="2025-09-05T00:00:00"/>
    <s v="SEC001"/>
    <x v="0"/>
    <x v="0"/>
    <x v="0"/>
    <s v="USD"/>
    <x v="2"/>
    <n v="178.25"/>
    <n v="177.36"/>
    <n v="-0.5"/>
    <n v="504420"/>
    <x v="0"/>
    <x v="0"/>
    <x v="0"/>
  </r>
  <r>
    <d v="2025-09-08T00:00:00"/>
    <s v="SEC001"/>
    <x v="0"/>
    <x v="0"/>
    <x v="0"/>
    <s v="USD"/>
    <x v="0"/>
    <n v="177.36"/>
    <n v="173"/>
    <n v="-2.46"/>
    <n v="966615"/>
    <x v="0"/>
    <x v="0"/>
    <x v="0"/>
  </r>
  <r>
    <d v="2025-09-09T00:00:00"/>
    <s v="SEC001"/>
    <x v="0"/>
    <x v="0"/>
    <x v="0"/>
    <s v="USD"/>
    <x v="1"/>
    <n v="173"/>
    <n v="170.01"/>
    <n v="-1.73"/>
    <n v="1225934"/>
    <x v="0"/>
    <x v="0"/>
    <x v="0"/>
  </r>
  <r>
    <d v="2025-09-10T00:00:00"/>
    <s v="SEC001"/>
    <x v="0"/>
    <x v="0"/>
    <x v="0"/>
    <s v="USD"/>
    <x v="2"/>
    <n v="170.01"/>
    <n v="167"/>
    <n v="-1.77"/>
    <n v="682374"/>
    <x v="0"/>
    <x v="0"/>
    <x v="0"/>
  </r>
  <r>
    <d v="2025-09-11T00:00:00"/>
    <s v="SEC001"/>
    <x v="0"/>
    <x v="0"/>
    <x v="0"/>
    <s v="USD"/>
    <x v="2"/>
    <n v="167"/>
    <n v="169.88"/>
    <n v="1.72"/>
    <n v="871317"/>
    <x v="0"/>
    <x v="0"/>
    <x v="0"/>
  </r>
  <r>
    <d v="2025-09-12T00:00:00"/>
    <s v="SEC001"/>
    <x v="0"/>
    <x v="0"/>
    <x v="0"/>
    <s v="USD"/>
    <x v="0"/>
    <n v="169.88"/>
    <n v="171.32"/>
    <n v="0.85"/>
    <n v="173797"/>
    <x v="0"/>
    <x v="0"/>
    <x v="0"/>
  </r>
  <r>
    <d v="2025-09-15T00:00:00"/>
    <s v="SEC001"/>
    <x v="0"/>
    <x v="0"/>
    <x v="0"/>
    <s v="USD"/>
    <x v="0"/>
    <n v="171.32"/>
    <n v="175.42"/>
    <n v="2.39"/>
    <n v="1445118"/>
    <x v="0"/>
    <x v="0"/>
    <x v="0"/>
  </r>
  <r>
    <d v="2025-09-16T00:00:00"/>
    <s v="SEC001"/>
    <x v="0"/>
    <x v="0"/>
    <x v="0"/>
    <s v="USD"/>
    <x v="2"/>
    <n v="175.42"/>
    <n v="175.27"/>
    <n v="-0.08"/>
    <n v="3414169"/>
    <x v="0"/>
    <x v="0"/>
    <x v="0"/>
  </r>
  <r>
    <d v="2025-09-17T00:00:00"/>
    <s v="SEC001"/>
    <x v="0"/>
    <x v="0"/>
    <x v="0"/>
    <s v="USD"/>
    <x v="0"/>
    <n v="175.27"/>
    <m/>
    <m/>
    <m/>
    <x v="1"/>
    <x v="1"/>
    <x v="3"/>
  </r>
  <r>
    <d v="2025-09-18T00:00:00"/>
    <s v="SEC001"/>
    <x v="0"/>
    <x v="0"/>
    <x v="0"/>
    <s v="USD"/>
    <x v="2"/>
    <n v="175.27"/>
    <n v="172.97"/>
    <n v="-1.31"/>
    <n v="3866886"/>
    <x v="0"/>
    <x v="0"/>
    <x v="0"/>
  </r>
  <r>
    <d v="2025-09-19T00:00:00"/>
    <s v="SEC001"/>
    <x v="0"/>
    <x v="0"/>
    <x v="0"/>
    <s v="USD"/>
    <x v="3"/>
    <n v="172.97"/>
    <n v="172.22"/>
    <n v="-0.43"/>
    <n v="4712122"/>
    <x v="0"/>
    <x v="0"/>
    <x v="0"/>
  </r>
  <r>
    <d v="2025-09-22T00:00:00"/>
    <s v="SEC001"/>
    <x v="0"/>
    <x v="0"/>
    <x v="0"/>
    <s v="USD"/>
    <x v="2"/>
    <n v="172.22"/>
    <n v="168.89"/>
    <n v="-1.93"/>
    <n v="540593"/>
    <x v="0"/>
    <x v="0"/>
    <x v="0"/>
  </r>
  <r>
    <d v="2025-07-01T00:00:00"/>
    <s v="SEC002"/>
    <x v="1"/>
    <x v="1"/>
    <x v="0"/>
    <s v="USD"/>
    <x v="0"/>
    <n v="410"/>
    <n v="415.69"/>
    <n v="1.39"/>
    <n v="4950436"/>
    <x v="0"/>
    <x v="0"/>
    <x v="0"/>
  </r>
  <r>
    <d v="2025-07-02T00:00:00"/>
    <s v="SEC002"/>
    <x v="1"/>
    <x v="1"/>
    <x v="0"/>
    <s v="USD"/>
    <x v="2"/>
    <n v="415.69"/>
    <n v="415.76"/>
    <n v="0.02"/>
    <n v="1370641"/>
    <x v="0"/>
    <x v="0"/>
    <x v="0"/>
  </r>
  <r>
    <d v="2025-07-03T00:00:00"/>
    <s v="SEC002"/>
    <x v="1"/>
    <x v="1"/>
    <x v="0"/>
    <s v="USD"/>
    <x v="0"/>
    <n v="415.76"/>
    <n v="426.49"/>
    <n v="2.58"/>
    <n v="1608812"/>
    <x v="0"/>
    <x v="0"/>
    <x v="0"/>
  </r>
  <r>
    <d v="2025-07-04T00:00:00"/>
    <s v="SEC002"/>
    <x v="1"/>
    <x v="1"/>
    <x v="0"/>
    <s v="USD"/>
    <x v="0"/>
    <n v="426.49"/>
    <n v="428.76"/>
    <n v="0.53"/>
    <n v="2023033"/>
    <x v="0"/>
    <x v="0"/>
    <x v="0"/>
  </r>
  <r>
    <d v="2025-07-07T00:00:00"/>
    <s v="SEC002"/>
    <x v="1"/>
    <x v="1"/>
    <x v="0"/>
    <s v="USD"/>
    <x v="2"/>
    <n v="428.76"/>
    <n v="419.63"/>
    <n v="-2.13"/>
    <n v="2115404"/>
    <x v="0"/>
    <x v="0"/>
    <x v="0"/>
  </r>
  <r>
    <d v="2025-07-08T00:00:00"/>
    <s v="SEC002"/>
    <x v="1"/>
    <x v="1"/>
    <x v="0"/>
    <s v="USD"/>
    <x v="0"/>
    <n v="419.63"/>
    <n v="422.44"/>
    <n v="0.67"/>
    <n v="4946198"/>
    <x v="0"/>
    <x v="0"/>
    <x v="0"/>
  </r>
  <r>
    <d v="2025-07-09T00:00:00"/>
    <s v="SEC002"/>
    <x v="1"/>
    <x v="1"/>
    <x v="0"/>
    <s v="USD"/>
    <x v="3"/>
    <n v="422.44"/>
    <n v="432.72"/>
    <n v="2.4300000000000002"/>
    <n v="2685565"/>
    <x v="0"/>
    <x v="0"/>
    <x v="0"/>
  </r>
  <r>
    <d v="2025-07-10T00:00:00"/>
    <s v="SEC002"/>
    <x v="1"/>
    <x v="1"/>
    <x v="0"/>
    <s v="USD"/>
    <x v="1"/>
    <n v="432.72"/>
    <n v="427.04"/>
    <n v="-1.31"/>
    <n v="2566557"/>
    <x v="0"/>
    <x v="0"/>
    <x v="0"/>
  </r>
  <r>
    <d v="2025-07-11T00:00:00"/>
    <s v="SEC002"/>
    <x v="1"/>
    <x v="1"/>
    <x v="0"/>
    <s v="USD"/>
    <x v="2"/>
    <n v="427.04"/>
    <n v="422.64"/>
    <n v="-1.03"/>
    <n v="658535"/>
    <x v="0"/>
    <x v="0"/>
    <x v="0"/>
  </r>
  <r>
    <d v="2025-07-14T00:00:00"/>
    <s v="SEC002"/>
    <x v="1"/>
    <x v="1"/>
    <x v="0"/>
    <s v="USD"/>
    <x v="0"/>
    <n v="422.64"/>
    <n v="421.66"/>
    <n v="-0.23"/>
    <n v="888703"/>
    <x v="0"/>
    <x v="0"/>
    <x v="0"/>
  </r>
  <r>
    <d v="2025-07-15T00:00:00"/>
    <s v="SEC002"/>
    <x v="1"/>
    <x v="1"/>
    <x v="0"/>
    <s v="USD"/>
    <x v="0"/>
    <n v="421.66"/>
    <n v="422.55"/>
    <n v="0.21"/>
    <n v="1161126"/>
    <x v="0"/>
    <x v="0"/>
    <x v="0"/>
  </r>
  <r>
    <d v="2025-07-16T00:00:00"/>
    <s v="SEC002"/>
    <x v="1"/>
    <x v="1"/>
    <x v="0"/>
    <s v="USD"/>
    <x v="3"/>
    <n v="422.55"/>
    <n v="431.56"/>
    <n v="2.13"/>
    <n v="3149817"/>
    <x v="0"/>
    <x v="0"/>
    <x v="0"/>
  </r>
  <r>
    <d v="2025-07-17T00:00:00"/>
    <s v="SEC002"/>
    <x v="1"/>
    <x v="1"/>
    <x v="0"/>
    <s v="USD"/>
    <x v="3"/>
    <n v="431.56"/>
    <n v="423.29"/>
    <n v="-1.92"/>
    <n v="2587697"/>
    <x v="0"/>
    <x v="0"/>
    <x v="0"/>
  </r>
  <r>
    <d v="2025-07-18T00:00:00"/>
    <s v="SEC002"/>
    <x v="1"/>
    <x v="1"/>
    <x v="0"/>
    <s v="USD"/>
    <x v="0"/>
    <n v="423.29"/>
    <n v="427.27"/>
    <n v="0.94"/>
    <n v="918946"/>
    <x v="0"/>
    <x v="0"/>
    <x v="0"/>
  </r>
  <r>
    <d v="2025-07-21T00:00:00"/>
    <s v="SEC002"/>
    <x v="1"/>
    <x v="1"/>
    <x v="0"/>
    <s v="USD"/>
    <x v="1"/>
    <n v="427.27"/>
    <n v="421.63"/>
    <n v="-1.32"/>
    <n v="4690776"/>
    <x v="0"/>
    <x v="0"/>
    <x v="0"/>
  </r>
  <r>
    <d v="2025-07-22T00:00:00"/>
    <s v="SEC002"/>
    <x v="1"/>
    <x v="1"/>
    <x v="0"/>
    <s v="USD"/>
    <x v="1"/>
    <n v="421.63"/>
    <n v="416.25"/>
    <n v="-1.27"/>
    <n v="2926288"/>
    <x v="0"/>
    <x v="0"/>
    <x v="0"/>
  </r>
  <r>
    <d v="2025-07-23T00:00:00"/>
    <s v="SEC002"/>
    <x v="1"/>
    <x v="1"/>
    <x v="0"/>
    <s v="USD"/>
    <x v="1"/>
    <n v="416.25"/>
    <n v="420.63"/>
    <n v="1.05"/>
    <n v="4289678"/>
    <x v="0"/>
    <x v="0"/>
    <x v="0"/>
  </r>
  <r>
    <d v="2025-07-24T00:00:00"/>
    <s v="SEC002"/>
    <x v="1"/>
    <x v="1"/>
    <x v="0"/>
    <s v="USD"/>
    <x v="2"/>
    <n v="420.63"/>
    <n v="414.76"/>
    <n v="-1.39"/>
    <n v="476132"/>
    <x v="0"/>
    <x v="0"/>
    <x v="0"/>
  </r>
  <r>
    <d v="2025-07-25T00:00:00"/>
    <s v="SEC002"/>
    <x v="1"/>
    <x v="1"/>
    <x v="0"/>
    <s v="USD"/>
    <x v="0"/>
    <n v="414.76"/>
    <n v="417.88"/>
    <n v="0.75"/>
    <n v="419826"/>
    <x v="0"/>
    <x v="0"/>
    <x v="0"/>
  </r>
  <r>
    <d v="2025-07-28T00:00:00"/>
    <s v="SEC002"/>
    <x v="1"/>
    <x v="1"/>
    <x v="0"/>
    <s v="USD"/>
    <x v="0"/>
    <n v="417.88"/>
    <n v="413.99"/>
    <n v="-0.93"/>
    <n v="2247440"/>
    <x v="0"/>
    <x v="0"/>
    <x v="0"/>
  </r>
  <r>
    <d v="2025-07-29T00:00:00"/>
    <s v="SEC002"/>
    <x v="1"/>
    <x v="1"/>
    <x v="0"/>
    <s v="USD"/>
    <x v="1"/>
    <n v="413.99"/>
    <n v="419.58"/>
    <n v="1.35"/>
    <n v="3637697"/>
    <x v="0"/>
    <x v="0"/>
    <x v="0"/>
  </r>
  <r>
    <d v="2025-07-30T00:00:00"/>
    <s v="SEC002"/>
    <x v="1"/>
    <x v="1"/>
    <x v="0"/>
    <s v="USD"/>
    <x v="0"/>
    <n v="419.58"/>
    <n v="410.46"/>
    <n v="-2.17"/>
    <n v="1300357"/>
    <x v="0"/>
    <x v="0"/>
    <x v="0"/>
  </r>
  <r>
    <d v="2025-07-31T00:00:00"/>
    <s v="SEC002"/>
    <x v="1"/>
    <x v="1"/>
    <x v="0"/>
    <s v="USD"/>
    <x v="0"/>
    <n v="410.46"/>
    <n v="418.15"/>
    <n v="1.87"/>
    <n v="1292300"/>
    <x v="0"/>
    <x v="0"/>
    <x v="0"/>
  </r>
  <r>
    <d v="2025-08-01T00:00:00"/>
    <s v="SEC002"/>
    <x v="1"/>
    <x v="1"/>
    <x v="0"/>
    <s v="USD"/>
    <x v="2"/>
    <n v="418.15"/>
    <n v="409.43"/>
    <n v="-2.09"/>
    <n v="384662"/>
    <x v="0"/>
    <x v="0"/>
    <x v="0"/>
  </r>
  <r>
    <d v="2025-08-04T00:00:00"/>
    <s v="SEC002"/>
    <x v="1"/>
    <x v="1"/>
    <x v="0"/>
    <s v="USD"/>
    <x v="3"/>
    <n v="409.43"/>
    <n v="402.78"/>
    <n v="-1.62"/>
    <n v="912295"/>
    <x v="0"/>
    <x v="0"/>
    <x v="0"/>
  </r>
  <r>
    <d v="2025-08-05T00:00:00"/>
    <s v="SEC002"/>
    <x v="1"/>
    <x v="1"/>
    <x v="0"/>
    <s v="USD"/>
    <x v="3"/>
    <n v="402.78"/>
    <n v="409.1"/>
    <n v="1.57"/>
    <n v="3458940"/>
    <x v="0"/>
    <x v="0"/>
    <x v="0"/>
  </r>
  <r>
    <d v="2025-08-06T00:00:00"/>
    <s v="SEC002"/>
    <x v="1"/>
    <x v="1"/>
    <x v="0"/>
    <s v="USD"/>
    <x v="1"/>
    <n v="409.1"/>
    <n v="418.85"/>
    <n v="2.38"/>
    <n v="1413163"/>
    <x v="0"/>
    <x v="0"/>
    <x v="0"/>
  </r>
  <r>
    <d v="2025-08-07T00:00:00"/>
    <s v="SEC002"/>
    <x v="1"/>
    <x v="1"/>
    <x v="0"/>
    <s v="USD"/>
    <x v="1"/>
    <n v="418.85"/>
    <n v="461.57"/>
    <n v="10.199999999999999"/>
    <n v="3503700"/>
    <x v="1"/>
    <x v="1"/>
    <x v="1"/>
  </r>
  <r>
    <d v="2025-08-08T00:00:00"/>
    <s v="SEC002"/>
    <x v="1"/>
    <x v="1"/>
    <x v="0"/>
    <s v="USD"/>
    <x v="1"/>
    <n v="461.57"/>
    <n v="455.55"/>
    <n v="-1.31"/>
    <n v="956771"/>
    <x v="0"/>
    <x v="0"/>
    <x v="0"/>
  </r>
  <r>
    <d v="2025-08-11T00:00:00"/>
    <s v="SEC002"/>
    <x v="1"/>
    <x v="1"/>
    <x v="0"/>
    <s v="USD"/>
    <x v="2"/>
    <n v="455.55"/>
    <n v="465.04"/>
    <n v="2.08"/>
    <n v="1915909"/>
    <x v="0"/>
    <x v="0"/>
    <x v="0"/>
  </r>
  <r>
    <d v="2025-08-12T00:00:00"/>
    <s v="SEC002"/>
    <x v="1"/>
    <x v="1"/>
    <x v="0"/>
    <s v="USD"/>
    <x v="1"/>
    <n v="465.04"/>
    <n v="473.29"/>
    <n v="1.77"/>
    <n v="2610126"/>
    <x v="0"/>
    <x v="0"/>
    <x v="0"/>
  </r>
  <r>
    <d v="2025-08-13T00:00:00"/>
    <s v="SEC002"/>
    <x v="1"/>
    <x v="1"/>
    <x v="0"/>
    <s v="USD"/>
    <x v="1"/>
    <n v="473.29"/>
    <n v="465.94"/>
    <n v="-1.55"/>
    <n v="3392574"/>
    <x v="0"/>
    <x v="0"/>
    <x v="0"/>
  </r>
  <r>
    <d v="2025-08-14T00:00:00"/>
    <s v="SEC002"/>
    <x v="1"/>
    <x v="1"/>
    <x v="0"/>
    <s v="USD"/>
    <x v="3"/>
    <n v="465.94"/>
    <n v="460.17"/>
    <n v="-1.24"/>
    <n v="2391470"/>
    <x v="0"/>
    <x v="0"/>
    <x v="0"/>
  </r>
  <r>
    <d v="2025-08-15T00:00:00"/>
    <s v="SEC002"/>
    <x v="1"/>
    <x v="1"/>
    <x v="0"/>
    <s v="USD"/>
    <x v="3"/>
    <n v="460.17"/>
    <n v="463.81"/>
    <n v="0.79"/>
    <n v="4548103"/>
    <x v="0"/>
    <x v="0"/>
    <x v="0"/>
  </r>
  <r>
    <d v="2025-08-18T00:00:00"/>
    <s v="SEC002"/>
    <x v="1"/>
    <x v="1"/>
    <x v="0"/>
    <s v="USD"/>
    <x v="3"/>
    <n v="463.81"/>
    <n v="475.22"/>
    <n v="2.46"/>
    <n v="2241231"/>
    <x v="0"/>
    <x v="0"/>
    <x v="0"/>
  </r>
  <r>
    <d v="2025-08-19T00:00:00"/>
    <s v="SEC002"/>
    <x v="1"/>
    <x v="1"/>
    <x v="0"/>
    <s v="USD"/>
    <x v="1"/>
    <n v="475.22"/>
    <n v="477.36"/>
    <n v="0.45"/>
    <n v="370924"/>
    <x v="0"/>
    <x v="0"/>
    <x v="0"/>
  </r>
  <r>
    <d v="2025-08-20T00:00:00"/>
    <s v="SEC002"/>
    <x v="1"/>
    <x v="1"/>
    <x v="0"/>
    <s v="USD"/>
    <x v="0"/>
    <n v="477.36"/>
    <n v="479.95"/>
    <n v="0.54"/>
    <n v="2681316"/>
    <x v="0"/>
    <x v="0"/>
    <x v="0"/>
  </r>
  <r>
    <d v="2025-08-21T00:00:00"/>
    <s v="SEC002"/>
    <x v="1"/>
    <x v="1"/>
    <x v="0"/>
    <s v="USD"/>
    <x v="2"/>
    <n v="479.95"/>
    <n v="482.8"/>
    <n v="0.59"/>
    <n v="3281253"/>
    <x v="0"/>
    <x v="0"/>
    <x v="0"/>
  </r>
  <r>
    <d v="2025-08-22T00:00:00"/>
    <s v="SEC002"/>
    <x v="1"/>
    <x v="1"/>
    <x v="0"/>
    <s v="USD"/>
    <x v="1"/>
    <n v="482.8"/>
    <n v="476.17"/>
    <n v="-1.37"/>
    <n v="64187"/>
    <x v="0"/>
    <x v="0"/>
    <x v="0"/>
  </r>
  <r>
    <d v="2025-08-25T00:00:00"/>
    <s v="SEC002"/>
    <x v="1"/>
    <x v="1"/>
    <x v="0"/>
    <s v="USD"/>
    <x v="1"/>
    <n v="476.17"/>
    <n v="472.55"/>
    <n v="-0.76"/>
    <n v="2819918"/>
    <x v="0"/>
    <x v="0"/>
    <x v="0"/>
  </r>
  <r>
    <d v="2025-08-26T00:00:00"/>
    <s v="SEC002"/>
    <x v="1"/>
    <x v="1"/>
    <x v="0"/>
    <s v="USD"/>
    <x v="3"/>
    <n v="472.55"/>
    <n v="476.87"/>
    <n v="0.91"/>
    <n v="2569285"/>
    <x v="0"/>
    <x v="0"/>
    <x v="0"/>
  </r>
  <r>
    <d v="2025-08-27T00:00:00"/>
    <s v="SEC002"/>
    <x v="1"/>
    <x v="1"/>
    <x v="0"/>
    <s v="USD"/>
    <x v="3"/>
    <n v="476.87"/>
    <n v="481.33"/>
    <n v="0.93"/>
    <n v="2530135"/>
    <x v="0"/>
    <x v="0"/>
    <x v="0"/>
  </r>
  <r>
    <d v="2025-08-28T00:00:00"/>
    <s v="SEC002"/>
    <x v="1"/>
    <x v="1"/>
    <x v="0"/>
    <s v="USD"/>
    <x v="1"/>
    <n v="481.33"/>
    <n v="473.02"/>
    <n v="-1.73"/>
    <n v="3230501"/>
    <x v="0"/>
    <x v="0"/>
    <x v="0"/>
  </r>
  <r>
    <d v="2025-08-29T00:00:00"/>
    <s v="SEC002"/>
    <x v="1"/>
    <x v="1"/>
    <x v="0"/>
    <s v="USD"/>
    <x v="1"/>
    <n v="473.02"/>
    <n v="476.08"/>
    <n v="0.65"/>
    <n v="4646430"/>
    <x v="0"/>
    <x v="0"/>
    <x v="0"/>
  </r>
  <r>
    <d v="2025-09-01T00:00:00"/>
    <s v="SEC002"/>
    <x v="1"/>
    <x v="1"/>
    <x v="0"/>
    <s v="USD"/>
    <x v="0"/>
    <n v="476.08"/>
    <n v="470.85"/>
    <n v="-1.1000000000000001"/>
    <n v="4915264"/>
    <x v="0"/>
    <x v="0"/>
    <x v="0"/>
  </r>
  <r>
    <d v="2025-09-02T00:00:00"/>
    <s v="SEC002"/>
    <x v="1"/>
    <x v="1"/>
    <x v="0"/>
    <s v="USD"/>
    <x v="3"/>
    <n v="470.85"/>
    <n v="469.93"/>
    <n v="-0.2"/>
    <n v="1842657"/>
    <x v="0"/>
    <x v="0"/>
    <x v="0"/>
  </r>
  <r>
    <d v="2025-09-03T00:00:00"/>
    <s v="SEC002"/>
    <x v="1"/>
    <x v="1"/>
    <x v="0"/>
    <s v="USD"/>
    <x v="2"/>
    <n v="469.93"/>
    <n v="477.66"/>
    <n v="1.64"/>
    <n v="1473474"/>
    <x v="0"/>
    <x v="0"/>
    <x v="0"/>
  </r>
  <r>
    <d v="2025-09-04T00:00:00"/>
    <s v="SEC002"/>
    <x v="1"/>
    <x v="1"/>
    <x v="0"/>
    <s v="USD"/>
    <x v="0"/>
    <n v="477.66"/>
    <n v="471.88"/>
    <n v="-1.21"/>
    <n v="2861762"/>
    <x v="0"/>
    <x v="0"/>
    <x v="0"/>
  </r>
  <r>
    <d v="2025-09-05T00:00:00"/>
    <s v="SEC002"/>
    <x v="1"/>
    <x v="1"/>
    <x v="0"/>
    <s v="USD"/>
    <x v="0"/>
    <n v="471.88"/>
    <n v="480.29"/>
    <n v="1.78"/>
    <n v="2653987"/>
    <x v="0"/>
    <x v="0"/>
    <x v="0"/>
  </r>
  <r>
    <d v="2025-09-08T00:00:00"/>
    <s v="SEC002"/>
    <x v="1"/>
    <x v="1"/>
    <x v="0"/>
    <s v="USD"/>
    <x v="1"/>
    <n v="480.29"/>
    <n v="488.54"/>
    <n v="1.72"/>
    <n v="437668"/>
    <x v="0"/>
    <x v="0"/>
    <x v="0"/>
  </r>
  <r>
    <d v="2025-09-09T00:00:00"/>
    <s v="SEC002"/>
    <x v="1"/>
    <x v="1"/>
    <x v="0"/>
    <s v="USD"/>
    <x v="1"/>
    <n v="488.54"/>
    <n v="501.78"/>
    <n v="2.71"/>
    <n v="660927"/>
    <x v="0"/>
    <x v="0"/>
    <x v="0"/>
  </r>
  <r>
    <d v="2025-09-10T00:00:00"/>
    <s v="SEC002"/>
    <x v="1"/>
    <x v="1"/>
    <x v="0"/>
    <s v="USD"/>
    <x v="2"/>
    <n v="501.78"/>
    <n v="499.37"/>
    <n v="-0.48"/>
    <n v="1681040"/>
    <x v="0"/>
    <x v="0"/>
    <x v="0"/>
  </r>
  <r>
    <d v="2025-09-11T00:00:00"/>
    <s v="SEC002"/>
    <x v="1"/>
    <x v="1"/>
    <x v="0"/>
    <s v="USD"/>
    <x v="2"/>
    <n v="499.37"/>
    <n v="499.22"/>
    <n v="-0.03"/>
    <n v="96513"/>
    <x v="0"/>
    <x v="0"/>
    <x v="0"/>
  </r>
  <r>
    <d v="2025-09-12T00:00:00"/>
    <s v="SEC002"/>
    <x v="1"/>
    <x v="1"/>
    <x v="0"/>
    <s v="USD"/>
    <x v="0"/>
    <n v="499.22"/>
    <n v="507"/>
    <n v="1.56"/>
    <n v="4394944"/>
    <x v="0"/>
    <x v="0"/>
    <x v="0"/>
  </r>
  <r>
    <d v="2025-09-15T00:00:00"/>
    <s v="SEC002"/>
    <x v="1"/>
    <x v="1"/>
    <x v="0"/>
    <s v="USD"/>
    <x v="2"/>
    <n v="507"/>
    <n v="494.23"/>
    <n v="-2.52"/>
    <n v="1068029"/>
    <x v="0"/>
    <x v="0"/>
    <x v="0"/>
  </r>
  <r>
    <d v="2025-09-16T00:00:00"/>
    <s v="SEC002"/>
    <x v="1"/>
    <x v="1"/>
    <x v="0"/>
    <s v="USD"/>
    <x v="2"/>
    <n v="494.23"/>
    <n v="484.08"/>
    <n v="-2.0499999999999998"/>
    <n v="4505457"/>
    <x v="0"/>
    <x v="0"/>
    <x v="0"/>
  </r>
  <r>
    <d v="2025-09-17T00:00:00"/>
    <s v="SEC002"/>
    <x v="1"/>
    <x v="1"/>
    <x v="0"/>
    <s v="USD"/>
    <x v="3"/>
    <n v="484.08"/>
    <n v="496.28"/>
    <n v="2.52"/>
    <n v="4284386"/>
    <x v="0"/>
    <x v="0"/>
    <x v="0"/>
  </r>
  <r>
    <d v="2025-09-18T00:00:00"/>
    <s v="SEC002"/>
    <x v="1"/>
    <x v="1"/>
    <x v="0"/>
    <s v="USD"/>
    <x v="2"/>
    <n v="496.28"/>
    <n v="505.47"/>
    <n v="1.85"/>
    <n v="1385113"/>
    <x v="0"/>
    <x v="0"/>
    <x v="0"/>
  </r>
  <r>
    <d v="2025-09-19T00:00:00"/>
    <s v="SEC002"/>
    <x v="1"/>
    <x v="1"/>
    <x v="0"/>
    <s v="USD"/>
    <x v="2"/>
    <n v="505.47"/>
    <n v="504.05"/>
    <n v="-0.28000000000000003"/>
    <n v="2376256"/>
    <x v="0"/>
    <x v="0"/>
    <x v="0"/>
  </r>
  <r>
    <d v="2025-09-22T00:00:00"/>
    <s v="SEC002"/>
    <x v="1"/>
    <x v="1"/>
    <x v="0"/>
    <s v="USD"/>
    <x v="2"/>
    <n v="504.05"/>
    <n v="507.63"/>
    <n v="0.71"/>
    <n v="699977"/>
    <x v="0"/>
    <x v="0"/>
    <x v="0"/>
  </r>
  <r>
    <d v="2025-07-01T00:00:00"/>
    <s v="SEC003"/>
    <x v="2"/>
    <x v="2"/>
    <x v="0"/>
    <s v="USD"/>
    <x v="3"/>
    <n v="195"/>
    <n v="192.1"/>
    <n v="-1.49"/>
    <n v="4581125"/>
    <x v="0"/>
    <x v="0"/>
    <x v="0"/>
  </r>
  <r>
    <d v="2025-07-02T00:00:00"/>
    <s v="SEC003"/>
    <x v="2"/>
    <x v="2"/>
    <x v="0"/>
    <s v="USD"/>
    <x v="0"/>
    <n v="192.1"/>
    <n v="188.21"/>
    <n v="-2.0299999999999998"/>
    <n v="1331823"/>
    <x v="0"/>
    <x v="0"/>
    <x v="0"/>
  </r>
  <r>
    <d v="2025-07-03T00:00:00"/>
    <s v="SEC003"/>
    <x v="2"/>
    <x v="2"/>
    <x v="0"/>
    <s v="USD"/>
    <x v="1"/>
    <n v="188.21"/>
    <n v="183.62"/>
    <n v="-2.44"/>
    <n v="4601752"/>
    <x v="0"/>
    <x v="0"/>
    <x v="0"/>
  </r>
  <r>
    <d v="2025-07-04T00:00:00"/>
    <s v="SEC003"/>
    <x v="2"/>
    <x v="2"/>
    <x v="0"/>
    <s v="USD"/>
    <x v="2"/>
    <n v="183.62"/>
    <n v="182.75"/>
    <n v="-0.47"/>
    <n v="3574419"/>
    <x v="0"/>
    <x v="0"/>
    <x v="0"/>
  </r>
  <r>
    <d v="2025-07-07T00:00:00"/>
    <s v="SEC003"/>
    <x v="2"/>
    <x v="2"/>
    <x v="0"/>
    <s v="USD"/>
    <x v="2"/>
    <n v="182.75"/>
    <n v="186.89"/>
    <n v="2.27"/>
    <n v="213845"/>
    <x v="0"/>
    <x v="0"/>
    <x v="0"/>
  </r>
  <r>
    <d v="2025-07-08T00:00:00"/>
    <s v="SEC003"/>
    <x v="2"/>
    <x v="2"/>
    <x v="0"/>
    <s v="USD"/>
    <x v="2"/>
    <n v="186.89"/>
    <n v="186.65"/>
    <n v="-0.13"/>
    <n v="2554944"/>
    <x v="0"/>
    <x v="0"/>
    <x v="0"/>
  </r>
  <r>
    <d v="2025-07-09T00:00:00"/>
    <s v="SEC003"/>
    <x v="2"/>
    <x v="2"/>
    <x v="0"/>
    <s v="USD"/>
    <x v="2"/>
    <n v="186.65"/>
    <n v="190.35"/>
    <n v="1.98"/>
    <n v="3565005"/>
    <x v="0"/>
    <x v="0"/>
    <x v="0"/>
  </r>
  <r>
    <d v="2025-07-10T00:00:00"/>
    <s v="SEC003"/>
    <x v="2"/>
    <x v="2"/>
    <x v="0"/>
    <s v="USD"/>
    <x v="1"/>
    <n v="190.35"/>
    <n v="190.22"/>
    <n v="-7.0000000000000007E-2"/>
    <n v="4123860"/>
    <x v="0"/>
    <x v="0"/>
    <x v="0"/>
  </r>
  <r>
    <d v="2025-07-11T00:00:00"/>
    <s v="SEC003"/>
    <x v="2"/>
    <x v="2"/>
    <x v="0"/>
    <s v="USD"/>
    <x v="0"/>
    <n v="190.22"/>
    <n v="189.04"/>
    <n v="-0.62"/>
    <n v="3441654"/>
    <x v="0"/>
    <x v="0"/>
    <x v="0"/>
  </r>
  <r>
    <d v="2025-07-14T00:00:00"/>
    <s v="SEC003"/>
    <x v="2"/>
    <x v="2"/>
    <x v="0"/>
    <s v="USD"/>
    <x v="1"/>
    <n v="189.04"/>
    <n v="192.64"/>
    <n v="1.91"/>
    <n v="4530553"/>
    <x v="0"/>
    <x v="0"/>
    <x v="0"/>
  </r>
  <r>
    <d v="2025-07-15T00:00:00"/>
    <s v="SEC003"/>
    <x v="2"/>
    <x v="2"/>
    <x v="0"/>
    <s v="USD"/>
    <x v="0"/>
    <n v="192.64"/>
    <n v="197.03"/>
    <n v="2.2799999999999998"/>
    <n v="277348"/>
    <x v="0"/>
    <x v="0"/>
    <x v="0"/>
  </r>
  <r>
    <d v="2025-07-16T00:00:00"/>
    <s v="SEC003"/>
    <x v="2"/>
    <x v="2"/>
    <x v="0"/>
    <s v="USD"/>
    <x v="0"/>
    <n v="197.03"/>
    <n v="198.61"/>
    <n v="0.8"/>
    <n v="3923007"/>
    <x v="0"/>
    <x v="0"/>
    <x v="0"/>
  </r>
  <r>
    <d v="2025-07-17T00:00:00"/>
    <s v="SEC003"/>
    <x v="2"/>
    <x v="2"/>
    <x v="0"/>
    <s v="USD"/>
    <x v="1"/>
    <n v="198.61"/>
    <n v="193.61"/>
    <n v="-2.52"/>
    <n v="1825535"/>
    <x v="0"/>
    <x v="0"/>
    <x v="0"/>
  </r>
  <r>
    <d v="2025-07-18T00:00:00"/>
    <s v="SEC003"/>
    <x v="2"/>
    <x v="2"/>
    <x v="0"/>
    <s v="USD"/>
    <x v="2"/>
    <n v="193.61"/>
    <n v="191.73"/>
    <n v="-0.97"/>
    <n v="3230341"/>
    <x v="0"/>
    <x v="0"/>
    <x v="0"/>
  </r>
  <r>
    <d v="2025-07-21T00:00:00"/>
    <s v="SEC003"/>
    <x v="2"/>
    <x v="2"/>
    <x v="0"/>
    <s v="USD"/>
    <x v="3"/>
    <n v="191.73"/>
    <n v="194.44"/>
    <n v="1.41"/>
    <n v="2166206"/>
    <x v="0"/>
    <x v="0"/>
    <x v="0"/>
  </r>
  <r>
    <d v="2025-07-22T00:00:00"/>
    <s v="SEC003"/>
    <x v="2"/>
    <x v="2"/>
    <x v="0"/>
    <s v="USD"/>
    <x v="0"/>
    <n v="194.44"/>
    <n v="194.11"/>
    <n v="-0.17"/>
    <n v="486925"/>
    <x v="0"/>
    <x v="0"/>
    <x v="0"/>
  </r>
  <r>
    <d v="2025-07-23T00:00:00"/>
    <s v="SEC003"/>
    <x v="2"/>
    <x v="2"/>
    <x v="0"/>
    <s v="USD"/>
    <x v="3"/>
    <n v="194.11"/>
    <n v="191.11"/>
    <n v="-1.54"/>
    <n v="387709"/>
    <x v="0"/>
    <x v="0"/>
    <x v="0"/>
  </r>
  <r>
    <d v="2025-07-24T00:00:00"/>
    <s v="SEC003"/>
    <x v="2"/>
    <x v="2"/>
    <x v="0"/>
    <s v="USD"/>
    <x v="0"/>
    <n v="191.11"/>
    <n v="195.93"/>
    <n v="2.52"/>
    <n v="220959"/>
    <x v="0"/>
    <x v="0"/>
    <x v="0"/>
  </r>
  <r>
    <d v="2025-07-25T00:00:00"/>
    <s v="SEC003"/>
    <x v="2"/>
    <x v="2"/>
    <x v="0"/>
    <s v="USD"/>
    <x v="1"/>
    <n v="195.93"/>
    <n v="193.06"/>
    <n v="-1.46"/>
    <n v="1009568"/>
    <x v="0"/>
    <x v="0"/>
    <x v="0"/>
  </r>
  <r>
    <d v="2025-07-28T00:00:00"/>
    <s v="SEC003"/>
    <x v="2"/>
    <x v="2"/>
    <x v="0"/>
    <s v="USD"/>
    <x v="1"/>
    <n v="193.06"/>
    <n v="192.68"/>
    <n v="-0.2"/>
    <n v="3144517"/>
    <x v="0"/>
    <x v="0"/>
    <x v="0"/>
  </r>
  <r>
    <d v="2025-07-29T00:00:00"/>
    <s v="SEC003"/>
    <x v="2"/>
    <x v="2"/>
    <x v="0"/>
    <s v="USD"/>
    <x v="1"/>
    <n v="192.68"/>
    <n v="193.82"/>
    <n v="0.59"/>
    <n v="1010771"/>
    <x v="0"/>
    <x v="0"/>
    <x v="0"/>
  </r>
  <r>
    <d v="2025-07-30T00:00:00"/>
    <s v="SEC003"/>
    <x v="2"/>
    <x v="2"/>
    <x v="0"/>
    <s v="USD"/>
    <x v="1"/>
    <n v="193.82"/>
    <n v="198.87"/>
    <n v="2.6"/>
    <n v="265406"/>
    <x v="0"/>
    <x v="0"/>
    <x v="0"/>
  </r>
  <r>
    <d v="2025-07-31T00:00:00"/>
    <s v="SEC003"/>
    <x v="2"/>
    <x v="2"/>
    <x v="0"/>
    <s v="USD"/>
    <x v="3"/>
    <n v="198.87"/>
    <n v="199.71"/>
    <n v="0.42"/>
    <n v="3198302"/>
    <x v="0"/>
    <x v="0"/>
    <x v="0"/>
  </r>
  <r>
    <d v="2025-08-01T00:00:00"/>
    <s v="SEC003"/>
    <x v="2"/>
    <x v="2"/>
    <x v="0"/>
    <s v="USD"/>
    <x v="2"/>
    <n v="199.71"/>
    <n v="204.65"/>
    <n v="2.4700000000000002"/>
    <n v="2087168"/>
    <x v="0"/>
    <x v="0"/>
    <x v="0"/>
  </r>
  <r>
    <d v="2025-08-04T00:00:00"/>
    <s v="SEC003"/>
    <x v="2"/>
    <x v="2"/>
    <x v="0"/>
    <s v="USD"/>
    <x v="0"/>
    <n v="204.65"/>
    <n v="206.91"/>
    <n v="1.1000000000000001"/>
    <n v="1065483"/>
    <x v="0"/>
    <x v="0"/>
    <x v="0"/>
  </r>
  <r>
    <d v="2025-08-05T00:00:00"/>
    <s v="SEC003"/>
    <x v="2"/>
    <x v="2"/>
    <x v="0"/>
    <s v="USD"/>
    <x v="0"/>
    <n v="206.91"/>
    <n v="205.14"/>
    <n v="-0.86"/>
    <n v="3158573"/>
    <x v="0"/>
    <x v="0"/>
    <x v="0"/>
  </r>
  <r>
    <d v="2025-08-06T00:00:00"/>
    <s v="SEC003"/>
    <x v="2"/>
    <x v="2"/>
    <x v="0"/>
    <s v="USD"/>
    <x v="0"/>
    <n v="205.14"/>
    <n v="205.21"/>
    <n v="0.03"/>
    <n v="3573708"/>
    <x v="0"/>
    <x v="0"/>
    <x v="0"/>
  </r>
  <r>
    <d v="2025-08-07T00:00:00"/>
    <s v="SEC003"/>
    <x v="2"/>
    <x v="2"/>
    <x v="0"/>
    <s v="USD"/>
    <x v="2"/>
    <n v="205.21"/>
    <n v="200.67"/>
    <n v="-2.21"/>
    <n v="3906573"/>
    <x v="0"/>
    <x v="0"/>
    <x v="0"/>
  </r>
  <r>
    <d v="2025-08-08T00:00:00"/>
    <s v="SEC003"/>
    <x v="2"/>
    <x v="2"/>
    <x v="0"/>
    <s v="USD"/>
    <x v="1"/>
    <n v="200.67"/>
    <n v="199.95"/>
    <n v="-0.36"/>
    <n v="2315615"/>
    <x v="0"/>
    <x v="0"/>
    <x v="0"/>
  </r>
  <r>
    <d v="2025-08-11T00:00:00"/>
    <s v="SEC003"/>
    <x v="2"/>
    <x v="2"/>
    <x v="0"/>
    <s v="USD"/>
    <x v="2"/>
    <n v="199.95"/>
    <n v="199.55"/>
    <n v="-0.2"/>
    <n v="2301464"/>
    <x v="0"/>
    <x v="0"/>
    <x v="0"/>
  </r>
  <r>
    <d v="2025-08-12T00:00:00"/>
    <s v="SEC003"/>
    <x v="2"/>
    <x v="2"/>
    <x v="0"/>
    <s v="USD"/>
    <x v="3"/>
    <n v="199.55"/>
    <n v="203.48"/>
    <n v="1.97"/>
    <n v="776981"/>
    <x v="0"/>
    <x v="0"/>
    <x v="0"/>
  </r>
  <r>
    <d v="2025-08-13T00:00:00"/>
    <s v="SEC003"/>
    <x v="2"/>
    <x v="2"/>
    <x v="0"/>
    <s v="USD"/>
    <x v="3"/>
    <n v="203.48"/>
    <n v="207.83"/>
    <n v="2.14"/>
    <n v="3948257"/>
    <x v="0"/>
    <x v="0"/>
    <x v="0"/>
  </r>
  <r>
    <d v="2025-08-14T00:00:00"/>
    <s v="SEC003"/>
    <x v="2"/>
    <x v="2"/>
    <x v="0"/>
    <s v="USD"/>
    <x v="2"/>
    <n v="207.83"/>
    <n v="205.93"/>
    <n v="-0.92"/>
    <n v="2776416"/>
    <x v="0"/>
    <x v="0"/>
    <x v="0"/>
  </r>
  <r>
    <d v="2025-08-15T00:00:00"/>
    <s v="SEC003"/>
    <x v="2"/>
    <x v="2"/>
    <x v="0"/>
    <s v="USD"/>
    <x v="1"/>
    <n v="205.93"/>
    <n v="205.79"/>
    <n v="-7.0000000000000007E-2"/>
    <n v="2217217"/>
    <x v="0"/>
    <x v="0"/>
    <x v="0"/>
  </r>
  <r>
    <d v="2025-08-18T00:00:00"/>
    <s v="SEC003"/>
    <x v="2"/>
    <x v="2"/>
    <x v="0"/>
    <s v="USD"/>
    <x v="3"/>
    <n v="205.79"/>
    <n v="203.25"/>
    <n v="-1.23"/>
    <n v="2367508"/>
    <x v="0"/>
    <x v="0"/>
    <x v="0"/>
  </r>
  <r>
    <d v="2025-08-19T00:00:00"/>
    <s v="SEC003"/>
    <x v="2"/>
    <x v="2"/>
    <x v="0"/>
    <s v="USD"/>
    <x v="0"/>
    <n v="203.25"/>
    <n v="203.44"/>
    <n v="0.09"/>
    <n v="2074641"/>
    <x v="0"/>
    <x v="0"/>
    <x v="0"/>
  </r>
  <r>
    <d v="2025-08-20T00:00:00"/>
    <s v="SEC003"/>
    <x v="2"/>
    <x v="2"/>
    <x v="0"/>
    <s v="USD"/>
    <x v="2"/>
    <n v="203.44"/>
    <n v="203.31"/>
    <n v="-0.06"/>
    <n v="4043758"/>
    <x v="0"/>
    <x v="0"/>
    <x v="0"/>
  </r>
  <r>
    <d v="2025-08-21T00:00:00"/>
    <s v="SEC003"/>
    <x v="2"/>
    <x v="2"/>
    <x v="0"/>
    <s v="USD"/>
    <x v="2"/>
    <n v="203.31"/>
    <n v="224.04"/>
    <n v="10.199999999999999"/>
    <n v="1908885"/>
    <x v="1"/>
    <x v="1"/>
    <x v="1"/>
  </r>
  <r>
    <d v="2025-08-22T00:00:00"/>
    <s v="SEC003"/>
    <x v="2"/>
    <x v="2"/>
    <x v="0"/>
    <s v="USD"/>
    <x v="2"/>
    <n v="224.04"/>
    <n v="226.45"/>
    <n v="1.07"/>
    <n v="4928441"/>
    <x v="0"/>
    <x v="0"/>
    <x v="0"/>
  </r>
  <r>
    <d v="2025-08-25T00:00:00"/>
    <s v="SEC003"/>
    <x v="2"/>
    <x v="2"/>
    <x v="0"/>
    <s v="USD"/>
    <x v="3"/>
    <n v="226.45"/>
    <n v="226.11"/>
    <n v="-0.15"/>
    <n v="3619384"/>
    <x v="0"/>
    <x v="0"/>
    <x v="0"/>
  </r>
  <r>
    <d v="2025-08-26T00:00:00"/>
    <s v="SEC003"/>
    <x v="2"/>
    <x v="2"/>
    <x v="0"/>
    <s v="USD"/>
    <x v="3"/>
    <n v="226.11"/>
    <n v="224.23"/>
    <n v="-0.83"/>
    <n v="2622140"/>
    <x v="0"/>
    <x v="0"/>
    <x v="0"/>
  </r>
  <r>
    <d v="2025-08-27T00:00:00"/>
    <s v="SEC003"/>
    <x v="2"/>
    <x v="2"/>
    <x v="0"/>
    <s v="USD"/>
    <x v="3"/>
    <n v="224.23"/>
    <n v="220.85"/>
    <n v="-1.51"/>
    <n v="2697008"/>
    <x v="0"/>
    <x v="0"/>
    <x v="0"/>
  </r>
  <r>
    <d v="2025-08-28T00:00:00"/>
    <s v="SEC003"/>
    <x v="2"/>
    <x v="2"/>
    <x v="0"/>
    <s v="USD"/>
    <x v="0"/>
    <n v="220.85"/>
    <n v="223.85"/>
    <n v="1.36"/>
    <n v="1603149"/>
    <x v="0"/>
    <x v="0"/>
    <x v="0"/>
  </r>
  <r>
    <d v="2025-08-29T00:00:00"/>
    <s v="SEC003"/>
    <x v="2"/>
    <x v="2"/>
    <x v="0"/>
    <s v="USD"/>
    <x v="1"/>
    <n v="223.85"/>
    <n v="220.3"/>
    <n v="-1.59"/>
    <n v="4995813"/>
    <x v="0"/>
    <x v="0"/>
    <x v="0"/>
  </r>
  <r>
    <d v="2025-09-01T00:00:00"/>
    <s v="SEC003"/>
    <x v="2"/>
    <x v="2"/>
    <x v="0"/>
    <s v="USD"/>
    <x v="3"/>
    <n v="220.3"/>
    <n v="226.23"/>
    <n v="2.69"/>
    <n v="2535095"/>
    <x v="0"/>
    <x v="0"/>
    <x v="0"/>
  </r>
  <r>
    <d v="2025-09-02T00:00:00"/>
    <s v="SEC003"/>
    <x v="2"/>
    <x v="2"/>
    <x v="0"/>
    <s v="USD"/>
    <x v="1"/>
    <n v="226.23"/>
    <n v="224.46"/>
    <n v="-0.78"/>
    <n v="4530649"/>
    <x v="0"/>
    <x v="0"/>
    <x v="0"/>
  </r>
  <r>
    <d v="2025-09-03T00:00:00"/>
    <s v="SEC003"/>
    <x v="2"/>
    <x v="2"/>
    <x v="0"/>
    <s v="USD"/>
    <x v="1"/>
    <n v="224.46"/>
    <n v="221.63"/>
    <n v="-1.26"/>
    <n v="4691911"/>
    <x v="0"/>
    <x v="0"/>
    <x v="0"/>
  </r>
  <r>
    <d v="2025-09-04T00:00:00"/>
    <s v="SEC003"/>
    <x v="2"/>
    <x v="2"/>
    <x v="0"/>
    <s v="USD"/>
    <x v="3"/>
    <n v="221.63"/>
    <n v="224.08"/>
    <n v="1.1100000000000001"/>
    <n v="4167788"/>
    <x v="0"/>
    <x v="0"/>
    <x v="0"/>
  </r>
  <r>
    <d v="2025-09-05T00:00:00"/>
    <s v="SEC003"/>
    <x v="2"/>
    <x v="2"/>
    <x v="0"/>
    <s v="USD"/>
    <x v="0"/>
    <n v="224.08"/>
    <n v="228.75"/>
    <n v="2.09"/>
    <n v="3987586"/>
    <x v="0"/>
    <x v="0"/>
    <x v="0"/>
  </r>
  <r>
    <d v="2025-09-08T00:00:00"/>
    <s v="SEC003"/>
    <x v="2"/>
    <x v="2"/>
    <x v="0"/>
    <s v="USD"/>
    <x v="2"/>
    <n v="228.75"/>
    <n v="227.99"/>
    <n v="-0.33"/>
    <n v="480979"/>
    <x v="0"/>
    <x v="0"/>
    <x v="0"/>
  </r>
  <r>
    <d v="2025-09-09T00:00:00"/>
    <s v="SEC003"/>
    <x v="2"/>
    <x v="2"/>
    <x v="0"/>
    <s v="USD"/>
    <x v="3"/>
    <n v="227.99"/>
    <n v="233.62"/>
    <n v="2.4700000000000002"/>
    <n v="598140"/>
    <x v="0"/>
    <x v="0"/>
    <x v="0"/>
  </r>
  <r>
    <d v="2025-09-10T00:00:00"/>
    <s v="SEC003"/>
    <x v="2"/>
    <x v="2"/>
    <x v="0"/>
    <s v="USD"/>
    <x v="2"/>
    <n v="233.62"/>
    <n v="233.51"/>
    <n v="-0.05"/>
    <n v="499705"/>
    <x v="0"/>
    <x v="0"/>
    <x v="0"/>
  </r>
  <r>
    <d v="2025-09-11T00:00:00"/>
    <s v="SEC003"/>
    <x v="2"/>
    <x v="2"/>
    <x v="0"/>
    <s v="USD"/>
    <x v="1"/>
    <n v="233.51"/>
    <n v="228.93"/>
    <n v="-1.96"/>
    <n v="2598757"/>
    <x v="0"/>
    <x v="0"/>
    <x v="0"/>
  </r>
  <r>
    <d v="2025-09-12T00:00:00"/>
    <s v="SEC003"/>
    <x v="2"/>
    <x v="2"/>
    <x v="0"/>
    <s v="USD"/>
    <x v="0"/>
    <n v="228.93"/>
    <n v="235.26"/>
    <n v="2.77"/>
    <n v="3541120"/>
    <x v="0"/>
    <x v="0"/>
    <x v="0"/>
  </r>
  <r>
    <d v="2025-09-15T00:00:00"/>
    <s v="SEC003"/>
    <x v="2"/>
    <x v="2"/>
    <x v="0"/>
    <s v="USD"/>
    <x v="1"/>
    <n v="235.26"/>
    <n v="238.89"/>
    <n v="1.54"/>
    <n v="3763812"/>
    <x v="0"/>
    <x v="0"/>
    <x v="0"/>
  </r>
  <r>
    <d v="2025-09-16T00:00:00"/>
    <s v="SEC003"/>
    <x v="2"/>
    <x v="2"/>
    <x v="0"/>
    <s v="USD"/>
    <x v="3"/>
    <n v="238.89"/>
    <n v="243.71"/>
    <n v="2.02"/>
    <n v="2611715"/>
    <x v="0"/>
    <x v="0"/>
    <x v="0"/>
  </r>
  <r>
    <d v="2025-09-17T00:00:00"/>
    <s v="SEC003"/>
    <x v="2"/>
    <x v="2"/>
    <x v="0"/>
    <s v="USD"/>
    <x v="0"/>
    <n v="243.71"/>
    <n v="245.21"/>
    <n v="0.61"/>
    <n v="1793051"/>
    <x v="0"/>
    <x v="0"/>
    <x v="0"/>
  </r>
  <r>
    <d v="2025-09-18T00:00:00"/>
    <s v="SEC003"/>
    <x v="2"/>
    <x v="2"/>
    <x v="0"/>
    <s v="USD"/>
    <x v="1"/>
    <n v="245.21"/>
    <n v="241.97"/>
    <n v="-1.32"/>
    <n v="2062134"/>
    <x v="0"/>
    <x v="0"/>
    <x v="0"/>
  </r>
  <r>
    <d v="2025-09-19T00:00:00"/>
    <s v="SEC003"/>
    <x v="2"/>
    <x v="2"/>
    <x v="0"/>
    <s v="USD"/>
    <x v="1"/>
    <n v="241.97"/>
    <n v="242.68"/>
    <n v="0.28999999999999998"/>
    <n v="3476893"/>
    <x v="0"/>
    <x v="0"/>
    <x v="0"/>
  </r>
  <r>
    <d v="2025-09-22T00:00:00"/>
    <s v="SEC003"/>
    <x v="2"/>
    <x v="2"/>
    <x v="0"/>
    <s v="USD"/>
    <x v="2"/>
    <n v="242.68"/>
    <n v="245.25"/>
    <n v="1.06"/>
    <n v="323802"/>
    <x v="0"/>
    <x v="0"/>
    <x v="0"/>
  </r>
  <r>
    <d v="2025-07-01T00:00:00"/>
    <s v="SEC004"/>
    <x v="3"/>
    <x v="3"/>
    <x v="0"/>
    <s v="USD"/>
    <x v="1"/>
    <n v="240"/>
    <n v="237.15"/>
    <n v="-1.19"/>
    <n v="3858690"/>
    <x v="0"/>
    <x v="0"/>
    <x v="0"/>
  </r>
  <r>
    <d v="2025-07-02T00:00:00"/>
    <s v="SEC004"/>
    <x v="3"/>
    <x v="3"/>
    <x v="0"/>
    <s v="USD"/>
    <x v="0"/>
    <n v="237.15"/>
    <n v="239.64"/>
    <n v="1.05"/>
    <n v="4997513"/>
    <x v="0"/>
    <x v="0"/>
    <x v="0"/>
  </r>
  <r>
    <d v="2025-07-03T00:00:00"/>
    <s v="SEC004"/>
    <x v="3"/>
    <x v="3"/>
    <x v="0"/>
    <s v="USD"/>
    <x v="1"/>
    <n v="239.64"/>
    <n v="238.64"/>
    <n v="-0.42"/>
    <n v="1299813"/>
    <x v="0"/>
    <x v="0"/>
    <x v="0"/>
  </r>
  <r>
    <d v="2025-07-04T00:00:00"/>
    <s v="SEC004"/>
    <x v="3"/>
    <x v="3"/>
    <x v="0"/>
    <s v="USD"/>
    <x v="3"/>
    <n v="238.64"/>
    <n v="243"/>
    <n v="1.83"/>
    <n v="1441861"/>
    <x v="0"/>
    <x v="0"/>
    <x v="0"/>
  </r>
  <r>
    <d v="2025-07-07T00:00:00"/>
    <s v="SEC004"/>
    <x v="3"/>
    <x v="3"/>
    <x v="0"/>
    <s v="USD"/>
    <x v="3"/>
    <n v="243"/>
    <n v="244.29"/>
    <n v="0.53"/>
    <n v="2471041"/>
    <x v="0"/>
    <x v="0"/>
    <x v="0"/>
  </r>
  <r>
    <d v="2025-07-08T00:00:00"/>
    <s v="SEC004"/>
    <x v="3"/>
    <x v="3"/>
    <x v="0"/>
    <s v="USD"/>
    <x v="2"/>
    <n v="244.29"/>
    <n v="239.16"/>
    <n v="-2.1"/>
    <n v="3426486"/>
    <x v="0"/>
    <x v="0"/>
    <x v="0"/>
  </r>
  <r>
    <d v="2025-07-09T00:00:00"/>
    <s v="SEC004"/>
    <x v="3"/>
    <x v="3"/>
    <x v="0"/>
    <s v="USD"/>
    <x v="3"/>
    <n v="239.16"/>
    <n v="239.16"/>
    <n v="0"/>
    <n v="724795"/>
    <x v="0"/>
    <x v="0"/>
    <x v="0"/>
  </r>
  <r>
    <d v="2025-07-10T00:00:00"/>
    <s v="SEC004"/>
    <x v="3"/>
    <x v="3"/>
    <x v="0"/>
    <s v="USD"/>
    <x v="0"/>
    <n v="239.16"/>
    <n v="244.38"/>
    <n v="2.1800000000000002"/>
    <n v="2150238"/>
    <x v="0"/>
    <x v="0"/>
    <x v="0"/>
  </r>
  <r>
    <d v="2025-07-11T00:00:00"/>
    <s v="SEC004"/>
    <x v="3"/>
    <x v="3"/>
    <x v="0"/>
    <s v="USD"/>
    <x v="0"/>
    <n v="244.38"/>
    <n v="238.78"/>
    <n v="-2.29"/>
    <n v="4875119"/>
    <x v="0"/>
    <x v="0"/>
    <x v="0"/>
  </r>
  <r>
    <d v="2025-07-14T00:00:00"/>
    <s v="SEC004"/>
    <x v="3"/>
    <x v="3"/>
    <x v="0"/>
    <s v="USD"/>
    <x v="0"/>
    <n v="238.78"/>
    <n v="245.46"/>
    <n v="2.8"/>
    <n v="2310822"/>
    <x v="0"/>
    <x v="0"/>
    <x v="0"/>
  </r>
  <r>
    <d v="2025-07-15T00:00:00"/>
    <s v="SEC004"/>
    <x v="3"/>
    <x v="3"/>
    <x v="0"/>
    <s v="USD"/>
    <x v="0"/>
    <n v="245.46"/>
    <n v="249.08"/>
    <n v="1.47"/>
    <n v="4403384"/>
    <x v="0"/>
    <x v="0"/>
    <x v="0"/>
  </r>
  <r>
    <d v="2025-07-16T00:00:00"/>
    <s v="SEC004"/>
    <x v="3"/>
    <x v="3"/>
    <x v="0"/>
    <s v="USD"/>
    <x v="2"/>
    <n v="249.08"/>
    <n v="254.89"/>
    <n v="2.33"/>
    <n v="4960100"/>
    <x v="0"/>
    <x v="0"/>
    <x v="0"/>
  </r>
  <r>
    <d v="2025-07-17T00:00:00"/>
    <s v="SEC004"/>
    <x v="3"/>
    <x v="3"/>
    <x v="0"/>
    <s v="USD"/>
    <x v="2"/>
    <n v="254.89"/>
    <n v="256.81"/>
    <n v="0.75"/>
    <n v="815396"/>
    <x v="0"/>
    <x v="0"/>
    <x v="0"/>
  </r>
  <r>
    <d v="2025-07-18T00:00:00"/>
    <s v="SEC004"/>
    <x v="3"/>
    <x v="3"/>
    <x v="0"/>
    <s v="USD"/>
    <x v="2"/>
    <n v="256.81"/>
    <n v="254.62"/>
    <n v="-0.85"/>
    <n v="927447"/>
    <x v="0"/>
    <x v="0"/>
    <x v="0"/>
  </r>
  <r>
    <d v="2025-07-21T00:00:00"/>
    <s v="SEC004"/>
    <x v="3"/>
    <x v="3"/>
    <x v="0"/>
    <s v="USD"/>
    <x v="1"/>
    <n v="254.62"/>
    <n v="252.2"/>
    <n v="-0.95"/>
    <n v="2467746"/>
    <x v="0"/>
    <x v="0"/>
    <x v="0"/>
  </r>
  <r>
    <d v="2025-07-22T00:00:00"/>
    <s v="SEC004"/>
    <x v="3"/>
    <x v="3"/>
    <x v="0"/>
    <s v="USD"/>
    <x v="2"/>
    <n v="252.2"/>
    <n v="256.62"/>
    <n v="1.76"/>
    <n v="3865356"/>
    <x v="0"/>
    <x v="0"/>
    <x v="0"/>
  </r>
  <r>
    <d v="2025-07-23T00:00:00"/>
    <s v="SEC004"/>
    <x v="3"/>
    <x v="3"/>
    <x v="0"/>
    <s v="USD"/>
    <x v="0"/>
    <n v="256.62"/>
    <n v="253.96"/>
    <n v="-1.04"/>
    <n v="3440466"/>
    <x v="0"/>
    <x v="0"/>
    <x v="0"/>
  </r>
  <r>
    <d v="2025-07-24T00:00:00"/>
    <s v="SEC004"/>
    <x v="3"/>
    <x v="3"/>
    <x v="0"/>
    <s v="USD"/>
    <x v="0"/>
    <n v="253.96"/>
    <n v="256.2"/>
    <n v="0.88"/>
    <n v="3516571"/>
    <x v="0"/>
    <x v="0"/>
    <x v="0"/>
  </r>
  <r>
    <d v="2025-07-25T00:00:00"/>
    <s v="SEC004"/>
    <x v="3"/>
    <x v="3"/>
    <x v="0"/>
    <s v="USD"/>
    <x v="0"/>
    <n v="256.2"/>
    <n v="251.72"/>
    <n v="-1.75"/>
    <n v="4231663"/>
    <x v="0"/>
    <x v="0"/>
    <x v="0"/>
  </r>
  <r>
    <d v="2025-07-28T00:00:00"/>
    <s v="SEC004"/>
    <x v="3"/>
    <x v="3"/>
    <x v="0"/>
    <s v="USD"/>
    <x v="2"/>
    <n v="251.72"/>
    <n v="255.38"/>
    <n v="1.46"/>
    <n v="4657188"/>
    <x v="0"/>
    <x v="0"/>
    <x v="0"/>
  </r>
  <r>
    <d v="2025-07-29T00:00:00"/>
    <s v="SEC004"/>
    <x v="3"/>
    <x v="3"/>
    <x v="0"/>
    <s v="USD"/>
    <x v="1"/>
    <n v="255.38"/>
    <n v="261.5"/>
    <n v="2.39"/>
    <n v="4116057"/>
    <x v="0"/>
    <x v="0"/>
    <x v="0"/>
  </r>
  <r>
    <d v="2025-07-30T00:00:00"/>
    <s v="SEC004"/>
    <x v="3"/>
    <x v="3"/>
    <x v="0"/>
    <s v="USD"/>
    <x v="0"/>
    <n v="261.5"/>
    <n v="254.6"/>
    <n v="-2.64"/>
    <n v="2057372"/>
    <x v="0"/>
    <x v="0"/>
    <x v="0"/>
  </r>
  <r>
    <d v="2025-07-31T00:00:00"/>
    <s v="SEC004"/>
    <x v="3"/>
    <x v="3"/>
    <x v="0"/>
    <s v="USD"/>
    <x v="1"/>
    <n v="254.6"/>
    <m/>
    <m/>
    <m/>
    <x v="1"/>
    <x v="1"/>
    <x v="3"/>
  </r>
  <r>
    <d v="2025-08-01T00:00:00"/>
    <s v="SEC004"/>
    <x v="3"/>
    <x v="3"/>
    <x v="0"/>
    <s v="USD"/>
    <x v="2"/>
    <n v="254.6"/>
    <n v="248.8"/>
    <n v="-2.2799999999999998"/>
    <n v="1001780"/>
    <x v="0"/>
    <x v="0"/>
    <x v="0"/>
  </r>
  <r>
    <d v="2025-08-04T00:00:00"/>
    <s v="SEC004"/>
    <x v="3"/>
    <x v="3"/>
    <x v="0"/>
    <s v="USD"/>
    <x v="2"/>
    <n v="248.8"/>
    <n v="255.03"/>
    <n v="2.5"/>
    <n v="1341603"/>
    <x v="0"/>
    <x v="0"/>
    <x v="0"/>
  </r>
  <r>
    <d v="2025-08-05T00:00:00"/>
    <s v="SEC004"/>
    <x v="3"/>
    <x v="3"/>
    <x v="0"/>
    <s v="USD"/>
    <x v="2"/>
    <n v="255.03"/>
    <n v="261.20999999999998"/>
    <n v="2.42"/>
    <n v="2343654"/>
    <x v="0"/>
    <x v="0"/>
    <x v="0"/>
  </r>
  <r>
    <d v="2025-08-06T00:00:00"/>
    <s v="SEC004"/>
    <x v="3"/>
    <x v="3"/>
    <x v="0"/>
    <s v="USD"/>
    <x v="2"/>
    <n v="261.20999999999998"/>
    <n v="266.10000000000002"/>
    <n v="1.87"/>
    <n v="2094563"/>
    <x v="0"/>
    <x v="0"/>
    <x v="0"/>
  </r>
  <r>
    <d v="2025-08-07T00:00:00"/>
    <s v="SEC004"/>
    <x v="3"/>
    <x v="3"/>
    <x v="0"/>
    <s v="USD"/>
    <x v="2"/>
    <n v="266.10000000000002"/>
    <n v="266.87"/>
    <n v="0.28999999999999998"/>
    <n v="4313433"/>
    <x v="0"/>
    <x v="0"/>
    <x v="0"/>
  </r>
  <r>
    <d v="2025-08-08T00:00:00"/>
    <s v="SEC004"/>
    <x v="3"/>
    <x v="3"/>
    <x v="0"/>
    <s v="USD"/>
    <x v="1"/>
    <n v="266.87"/>
    <n v="272.31"/>
    <n v="2.04"/>
    <n v="3530789"/>
    <x v="0"/>
    <x v="0"/>
    <x v="0"/>
  </r>
  <r>
    <d v="2025-08-11T00:00:00"/>
    <s v="SEC004"/>
    <x v="3"/>
    <x v="3"/>
    <x v="0"/>
    <s v="USD"/>
    <x v="3"/>
    <n v="272.31"/>
    <n v="278.93"/>
    <n v="2.4300000000000002"/>
    <n v="71518"/>
    <x v="0"/>
    <x v="0"/>
    <x v="0"/>
  </r>
  <r>
    <d v="2025-08-12T00:00:00"/>
    <s v="SEC004"/>
    <x v="3"/>
    <x v="3"/>
    <x v="0"/>
    <s v="USD"/>
    <x v="3"/>
    <n v="278.93"/>
    <n v="282.45999999999998"/>
    <n v="1.27"/>
    <n v="4914749"/>
    <x v="0"/>
    <x v="0"/>
    <x v="0"/>
  </r>
  <r>
    <d v="2025-08-13T00:00:00"/>
    <s v="SEC004"/>
    <x v="3"/>
    <x v="3"/>
    <x v="0"/>
    <s v="USD"/>
    <x v="2"/>
    <n v="282.45999999999998"/>
    <n v="288.24"/>
    <n v="2.0499999999999998"/>
    <n v="4112950"/>
    <x v="0"/>
    <x v="0"/>
    <x v="0"/>
  </r>
  <r>
    <d v="2025-08-14T00:00:00"/>
    <s v="SEC004"/>
    <x v="3"/>
    <x v="3"/>
    <x v="0"/>
    <s v="USD"/>
    <x v="3"/>
    <n v="288.24"/>
    <n v="285.52999999999997"/>
    <n v="-0.94"/>
    <n v="3214267"/>
    <x v="0"/>
    <x v="0"/>
    <x v="0"/>
  </r>
  <r>
    <d v="2025-08-15T00:00:00"/>
    <s v="SEC004"/>
    <x v="3"/>
    <x v="3"/>
    <x v="0"/>
    <s v="USD"/>
    <x v="2"/>
    <n v="285.52999999999997"/>
    <n v="292.45999999999998"/>
    <n v="2.42"/>
    <n v="2053246"/>
    <x v="0"/>
    <x v="0"/>
    <x v="0"/>
  </r>
  <r>
    <d v="2025-08-18T00:00:00"/>
    <s v="SEC004"/>
    <x v="3"/>
    <x v="3"/>
    <x v="0"/>
    <s v="USD"/>
    <x v="2"/>
    <n v="292.45999999999998"/>
    <n v="288.08999999999997"/>
    <n v="-1.49"/>
    <n v="416140"/>
    <x v="0"/>
    <x v="0"/>
    <x v="0"/>
  </r>
  <r>
    <d v="2025-08-19T00:00:00"/>
    <s v="SEC004"/>
    <x v="3"/>
    <x v="3"/>
    <x v="0"/>
    <s v="USD"/>
    <x v="3"/>
    <n v="288.08999999999997"/>
    <n v="292.04000000000002"/>
    <n v="1.37"/>
    <n v="3247998"/>
    <x v="0"/>
    <x v="0"/>
    <x v="0"/>
  </r>
  <r>
    <d v="2025-08-20T00:00:00"/>
    <s v="SEC004"/>
    <x v="3"/>
    <x v="3"/>
    <x v="0"/>
    <s v="USD"/>
    <x v="2"/>
    <n v="292.04000000000002"/>
    <n v="300.02999999999997"/>
    <n v="2.74"/>
    <n v="1325951"/>
    <x v="0"/>
    <x v="0"/>
    <x v="0"/>
  </r>
  <r>
    <d v="2025-08-21T00:00:00"/>
    <s v="SEC004"/>
    <x v="3"/>
    <x v="3"/>
    <x v="0"/>
    <s v="USD"/>
    <x v="2"/>
    <n v="300.02999999999997"/>
    <n v="307.83999999999997"/>
    <n v="2.6"/>
    <n v="2834973"/>
    <x v="0"/>
    <x v="0"/>
    <x v="0"/>
  </r>
  <r>
    <d v="2025-08-22T00:00:00"/>
    <s v="SEC004"/>
    <x v="3"/>
    <x v="3"/>
    <x v="0"/>
    <s v="USD"/>
    <x v="0"/>
    <n v="307.83999999999997"/>
    <n v="314.29000000000002"/>
    <n v="2.1"/>
    <n v="4461997"/>
    <x v="0"/>
    <x v="0"/>
    <x v="0"/>
  </r>
  <r>
    <d v="2025-08-25T00:00:00"/>
    <s v="SEC004"/>
    <x v="3"/>
    <x v="3"/>
    <x v="0"/>
    <s v="USD"/>
    <x v="2"/>
    <n v="314.29000000000002"/>
    <n v="305.76"/>
    <n v="-2.71"/>
    <n v="1344875"/>
    <x v="0"/>
    <x v="0"/>
    <x v="0"/>
  </r>
  <r>
    <d v="2025-08-26T00:00:00"/>
    <s v="SEC004"/>
    <x v="3"/>
    <x v="3"/>
    <x v="0"/>
    <s v="USD"/>
    <x v="0"/>
    <n v="305.76"/>
    <n v="305.24"/>
    <n v="-0.17"/>
    <n v="2890057"/>
    <x v="0"/>
    <x v="0"/>
    <x v="0"/>
  </r>
  <r>
    <d v="2025-08-27T00:00:00"/>
    <s v="SEC004"/>
    <x v="3"/>
    <x v="3"/>
    <x v="0"/>
    <s v="USD"/>
    <x v="2"/>
    <n v="305.24"/>
    <n v="307.8"/>
    <n v="0.84"/>
    <n v="4526348"/>
    <x v="0"/>
    <x v="0"/>
    <x v="0"/>
  </r>
  <r>
    <d v="2025-08-28T00:00:00"/>
    <s v="SEC004"/>
    <x v="3"/>
    <x v="3"/>
    <x v="0"/>
    <s v="USD"/>
    <x v="2"/>
    <n v="307.8"/>
    <n v="315.63"/>
    <n v="2.54"/>
    <n v="4143200"/>
    <x v="0"/>
    <x v="0"/>
    <x v="0"/>
  </r>
  <r>
    <d v="2025-08-29T00:00:00"/>
    <s v="SEC004"/>
    <x v="3"/>
    <x v="3"/>
    <x v="0"/>
    <s v="USD"/>
    <x v="0"/>
    <n v="315.63"/>
    <n v="317.7"/>
    <n v="0.66"/>
    <n v="2460709"/>
    <x v="0"/>
    <x v="0"/>
    <x v="0"/>
  </r>
  <r>
    <d v="2025-09-01T00:00:00"/>
    <s v="SEC004"/>
    <x v="3"/>
    <x v="3"/>
    <x v="0"/>
    <s v="USD"/>
    <x v="1"/>
    <n v="317.7"/>
    <n v="322.08999999999997"/>
    <n v="1.38"/>
    <n v="875800"/>
    <x v="0"/>
    <x v="0"/>
    <x v="0"/>
  </r>
  <r>
    <d v="2025-09-02T00:00:00"/>
    <s v="SEC004"/>
    <x v="3"/>
    <x v="3"/>
    <x v="0"/>
    <s v="USD"/>
    <x v="0"/>
    <n v="322.08999999999997"/>
    <n v="321.08"/>
    <n v="-0.32"/>
    <n v="292827"/>
    <x v="0"/>
    <x v="0"/>
    <x v="0"/>
  </r>
  <r>
    <d v="2025-09-03T00:00:00"/>
    <s v="SEC004"/>
    <x v="3"/>
    <x v="3"/>
    <x v="0"/>
    <s v="USD"/>
    <x v="0"/>
    <n v="321.08"/>
    <n v="317.92"/>
    <n v="-0.98"/>
    <n v="3057008"/>
    <x v="0"/>
    <x v="0"/>
    <x v="0"/>
  </r>
  <r>
    <d v="2025-09-04T00:00:00"/>
    <s v="SEC004"/>
    <x v="3"/>
    <x v="3"/>
    <x v="0"/>
    <s v="USD"/>
    <x v="3"/>
    <n v="317.92"/>
    <n v="316.68"/>
    <n v="-0.39"/>
    <n v="3506540"/>
    <x v="0"/>
    <x v="0"/>
    <x v="0"/>
  </r>
  <r>
    <d v="2025-09-05T00:00:00"/>
    <s v="SEC004"/>
    <x v="3"/>
    <x v="3"/>
    <x v="0"/>
    <s v="USD"/>
    <x v="1"/>
    <n v="316.68"/>
    <n v="310.83"/>
    <n v="-1.85"/>
    <n v="3259014"/>
    <x v="0"/>
    <x v="0"/>
    <x v="0"/>
  </r>
  <r>
    <d v="2025-09-08T00:00:00"/>
    <s v="SEC004"/>
    <x v="3"/>
    <x v="3"/>
    <x v="0"/>
    <s v="USD"/>
    <x v="1"/>
    <n v="310.83"/>
    <n v="310.79000000000002"/>
    <n v="-0.01"/>
    <n v="1997737"/>
    <x v="0"/>
    <x v="0"/>
    <x v="0"/>
  </r>
  <r>
    <d v="2025-09-09T00:00:00"/>
    <s v="SEC004"/>
    <x v="3"/>
    <x v="3"/>
    <x v="0"/>
    <s v="USD"/>
    <x v="2"/>
    <n v="310.79000000000002"/>
    <n v="313.19"/>
    <n v="0.77"/>
    <n v="128831"/>
    <x v="0"/>
    <x v="0"/>
    <x v="0"/>
  </r>
  <r>
    <d v="2025-09-10T00:00:00"/>
    <s v="SEC004"/>
    <x v="3"/>
    <x v="3"/>
    <x v="0"/>
    <s v="USD"/>
    <x v="2"/>
    <n v="313.19"/>
    <n v="320.23"/>
    <n v="2.25"/>
    <n v="1375195"/>
    <x v="0"/>
    <x v="0"/>
    <x v="0"/>
  </r>
  <r>
    <d v="2025-09-11T00:00:00"/>
    <s v="SEC004"/>
    <x v="3"/>
    <x v="3"/>
    <x v="0"/>
    <s v="USD"/>
    <x v="0"/>
    <n v="320.23"/>
    <n v="319.18"/>
    <n v="-0.33"/>
    <n v="4978908"/>
    <x v="0"/>
    <x v="0"/>
    <x v="0"/>
  </r>
  <r>
    <d v="2025-09-12T00:00:00"/>
    <s v="SEC004"/>
    <x v="3"/>
    <x v="3"/>
    <x v="0"/>
    <s v="USD"/>
    <x v="3"/>
    <n v="319.18"/>
    <n v="321.67"/>
    <n v="0.78"/>
    <n v="2147975"/>
    <x v="0"/>
    <x v="0"/>
    <x v="0"/>
  </r>
  <r>
    <d v="2025-09-15T00:00:00"/>
    <s v="SEC004"/>
    <x v="3"/>
    <x v="3"/>
    <x v="0"/>
    <s v="USD"/>
    <x v="2"/>
    <n v="321.67"/>
    <n v="327.89"/>
    <n v="1.93"/>
    <n v="3277040"/>
    <x v="0"/>
    <x v="0"/>
    <x v="0"/>
  </r>
  <r>
    <d v="2025-09-16T00:00:00"/>
    <s v="SEC004"/>
    <x v="3"/>
    <x v="3"/>
    <x v="0"/>
    <s v="USD"/>
    <x v="2"/>
    <n v="327.89"/>
    <n v="320.66000000000003"/>
    <n v="-2.2000000000000002"/>
    <n v="3061167"/>
    <x v="0"/>
    <x v="0"/>
    <x v="0"/>
  </r>
  <r>
    <d v="2025-09-17T00:00:00"/>
    <s v="SEC004"/>
    <x v="3"/>
    <x v="3"/>
    <x v="0"/>
    <s v="USD"/>
    <x v="3"/>
    <n v="320.66000000000003"/>
    <n v="329.51"/>
    <n v="2.76"/>
    <n v="3370259"/>
    <x v="0"/>
    <x v="0"/>
    <x v="0"/>
  </r>
  <r>
    <d v="2025-09-18T00:00:00"/>
    <s v="SEC004"/>
    <x v="3"/>
    <x v="3"/>
    <x v="0"/>
    <s v="USD"/>
    <x v="3"/>
    <n v="329.51"/>
    <n v="320.43"/>
    <n v="-2.75"/>
    <n v="461412"/>
    <x v="0"/>
    <x v="0"/>
    <x v="0"/>
  </r>
  <r>
    <d v="2025-09-19T00:00:00"/>
    <s v="SEC004"/>
    <x v="3"/>
    <x v="3"/>
    <x v="0"/>
    <s v="USD"/>
    <x v="2"/>
    <n v="320.43"/>
    <n v="326.41000000000003"/>
    <n v="1.86"/>
    <n v="1980372"/>
    <x v="0"/>
    <x v="0"/>
    <x v="0"/>
  </r>
  <r>
    <d v="2025-09-22T00:00:00"/>
    <s v="SEC004"/>
    <x v="3"/>
    <x v="3"/>
    <x v="0"/>
    <s v="USD"/>
    <x v="3"/>
    <n v="326.41000000000003"/>
    <n v="321.27"/>
    <n v="-1.57"/>
    <n v="2152409"/>
    <x v="0"/>
    <x v="0"/>
    <x v="0"/>
  </r>
  <r>
    <d v="2025-07-01T00:00:00"/>
    <s v="SEC005"/>
    <x v="4"/>
    <x v="4"/>
    <x v="1"/>
    <s v="USD"/>
    <x v="1"/>
    <n v="515"/>
    <n v="516.59"/>
    <n v="0.31"/>
    <n v="380700"/>
    <x v="0"/>
    <x v="0"/>
    <x v="0"/>
  </r>
  <r>
    <d v="2025-07-02T00:00:00"/>
    <s v="SEC005"/>
    <x v="4"/>
    <x v="4"/>
    <x v="1"/>
    <s v="USD"/>
    <x v="3"/>
    <n v="516.59"/>
    <n v="569.28"/>
    <n v="10.199999999999999"/>
    <n v="1152362"/>
    <x v="1"/>
    <x v="1"/>
    <x v="1"/>
  </r>
  <r>
    <d v="2025-07-03T00:00:00"/>
    <s v="SEC005"/>
    <x v="4"/>
    <x v="4"/>
    <x v="1"/>
    <s v="USD"/>
    <x v="0"/>
    <n v="569.28"/>
    <n v="574.87"/>
    <n v="0.98"/>
    <n v="3535492"/>
    <x v="0"/>
    <x v="0"/>
    <x v="0"/>
  </r>
  <r>
    <d v="2025-07-04T00:00:00"/>
    <s v="SEC005"/>
    <x v="4"/>
    <x v="4"/>
    <x v="1"/>
    <s v="USD"/>
    <x v="1"/>
    <n v="574.87"/>
    <n v="570.75"/>
    <n v="-0.72"/>
    <n v="3119035"/>
    <x v="0"/>
    <x v="0"/>
    <x v="0"/>
  </r>
  <r>
    <d v="2025-07-07T00:00:00"/>
    <s v="SEC005"/>
    <x v="4"/>
    <x v="4"/>
    <x v="1"/>
    <s v="USD"/>
    <x v="3"/>
    <n v="570.75"/>
    <n v="575.27"/>
    <n v="0.79"/>
    <n v="4092032"/>
    <x v="0"/>
    <x v="0"/>
    <x v="0"/>
  </r>
  <r>
    <d v="2025-07-08T00:00:00"/>
    <s v="SEC005"/>
    <x v="4"/>
    <x v="4"/>
    <x v="1"/>
    <s v="USD"/>
    <x v="3"/>
    <n v="575.27"/>
    <n v="578.67999999999995"/>
    <n v="0.59"/>
    <n v="1016113"/>
    <x v="0"/>
    <x v="0"/>
    <x v="0"/>
  </r>
  <r>
    <d v="2025-07-09T00:00:00"/>
    <s v="SEC005"/>
    <x v="4"/>
    <x v="4"/>
    <x v="1"/>
    <s v="USD"/>
    <x v="2"/>
    <n v="578.67999999999995"/>
    <n v="585.1"/>
    <n v="1.1100000000000001"/>
    <n v="1942593"/>
    <x v="0"/>
    <x v="0"/>
    <x v="0"/>
  </r>
  <r>
    <d v="2025-07-10T00:00:00"/>
    <s v="SEC005"/>
    <x v="4"/>
    <x v="4"/>
    <x v="1"/>
    <s v="USD"/>
    <x v="2"/>
    <n v="585.1"/>
    <n v="591.66999999999996"/>
    <n v="1.1200000000000001"/>
    <n v="3118343"/>
    <x v="0"/>
    <x v="0"/>
    <x v="0"/>
  </r>
  <r>
    <d v="2025-07-11T00:00:00"/>
    <s v="SEC005"/>
    <x v="4"/>
    <x v="4"/>
    <x v="1"/>
    <s v="USD"/>
    <x v="0"/>
    <n v="591.66999999999996"/>
    <m/>
    <m/>
    <m/>
    <x v="1"/>
    <x v="1"/>
    <x v="3"/>
  </r>
  <r>
    <d v="2025-07-14T00:00:00"/>
    <s v="SEC005"/>
    <x v="4"/>
    <x v="4"/>
    <x v="1"/>
    <s v="USD"/>
    <x v="0"/>
    <n v="591.66999999999996"/>
    <n v="591.02"/>
    <n v="-0.11"/>
    <n v="2249169"/>
    <x v="0"/>
    <x v="0"/>
    <x v="0"/>
  </r>
  <r>
    <d v="2025-07-15T00:00:00"/>
    <s v="SEC005"/>
    <x v="4"/>
    <x v="4"/>
    <x v="1"/>
    <s v="USD"/>
    <x v="2"/>
    <n v="591.02"/>
    <n v="595.6"/>
    <n v="0.77"/>
    <n v="958872"/>
    <x v="0"/>
    <x v="0"/>
    <x v="0"/>
  </r>
  <r>
    <d v="2025-07-16T00:00:00"/>
    <s v="SEC005"/>
    <x v="4"/>
    <x v="4"/>
    <x v="1"/>
    <s v="USD"/>
    <x v="1"/>
    <n v="595.6"/>
    <n v="595.19000000000005"/>
    <n v="-7.0000000000000007E-2"/>
    <n v="4759426"/>
    <x v="0"/>
    <x v="0"/>
    <x v="0"/>
  </r>
  <r>
    <d v="2025-07-17T00:00:00"/>
    <s v="SEC005"/>
    <x v="4"/>
    <x v="4"/>
    <x v="1"/>
    <s v="USD"/>
    <x v="3"/>
    <n v="595.19000000000005"/>
    <n v="601.12"/>
    <n v="1"/>
    <n v="580302"/>
    <x v="0"/>
    <x v="0"/>
    <x v="0"/>
  </r>
  <r>
    <d v="2025-07-18T00:00:00"/>
    <s v="SEC005"/>
    <x v="4"/>
    <x v="4"/>
    <x v="1"/>
    <s v="USD"/>
    <x v="2"/>
    <n v="601.12"/>
    <n v="607.03"/>
    <n v="0.98"/>
    <n v="3475033"/>
    <x v="0"/>
    <x v="0"/>
    <x v="0"/>
  </r>
  <r>
    <d v="2025-07-21T00:00:00"/>
    <s v="SEC005"/>
    <x v="4"/>
    <x v="4"/>
    <x v="1"/>
    <s v="USD"/>
    <x v="0"/>
    <n v="607.03"/>
    <n v="601.78"/>
    <n v="-0.86"/>
    <n v="2603195"/>
    <x v="0"/>
    <x v="0"/>
    <x v="0"/>
  </r>
  <r>
    <d v="2025-07-22T00:00:00"/>
    <s v="SEC005"/>
    <x v="4"/>
    <x v="4"/>
    <x v="1"/>
    <s v="USD"/>
    <x v="2"/>
    <n v="601.78"/>
    <n v="596.24"/>
    <n v="-0.92"/>
    <n v="4559267"/>
    <x v="0"/>
    <x v="0"/>
    <x v="0"/>
  </r>
  <r>
    <d v="2025-07-23T00:00:00"/>
    <s v="SEC005"/>
    <x v="4"/>
    <x v="4"/>
    <x v="1"/>
    <s v="USD"/>
    <x v="1"/>
    <n v="596.24"/>
    <n v="594.64"/>
    <n v="-0.27"/>
    <n v="4581463"/>
    <x v="0"/>
    <x v="0"/>
    <x v="0"/>
  </r>
  <r>
    <d v="2025-07-24T00:00:00"/>
    <s v="SEC005"/>
    <x v="4"/>
    <x v="4"/>
    <x v="1"/>
    <s v="USD"/>
    <x v="2"/>
    <n v="594.64"/>
    <n v="595.89"/>
    <n v="0.21"/>
    <n v="3530303"/>
    <x v="0"/>
    <x v="0"/>
    <x v="0"/>
  </r>
  <r>
    <d v="2025-07-25T00:00:00"/>
    <s v="SEC005"/>
    <x v="4"/>
    <x v="4"/>
    <x v="1"/>
    <s v="USD"/>
    <x v="0"/>
    <n v="595.89"/>
    <n v="600.66"/>
    <n v="0.8"/>
    <n v="2396630"/>
    <x v="0"/>
    <x v="0"/>
    <x v="0"/>
  </r>
  <r>
    <d v="2025-07-28T00:00:00"/>
    <s v="SEC005"/>
    <x v="4"/>
    <x v="4"/>
    <x v="1"/>
    <s v="USD"/>
    <x v="0"/>
    <n v="600.66"/>
    <n v="603.4"/>
    <n v="0.46"/>
    <n v="3780379"/>
    <x v="0"/>
    <x v="0"/>
    <x v="0"/>
  </r>
  <r>
    <d v="2025-07-29T00:00:00"/>
    <s v="SEC005"/>
    <x v="4"/>
    <x v="4"/>
    <x v="1"/>
    <s v="USD"/>
    <x v="1"/>
    <n v="603.4"/>
    <n v="608.54999999999995"/>
    <n v="0.85"/>
    <n v="3131428"/>
    <x v="0"/>
    <x v="0"/>
    <x v="0"/>
  </r>
  <r>
    <d v="2025-07-30T00:00:00"/>
    <s v="SEC005"/>
    <x v="4"/>
    <x v="4"/>
    <x v="1"/>
    <s v="USD"/>
    <x v="3"/>
    <n v="608.54999999999995"/>
    <n v="602.13"/>
    <n v="-1.05"/>
    <n v="1074749"/>
    <x v="0"/>
    <x v="0"/>
    <x v="0"/>
  </r>
  <r>
    <d v="2025-07-31T00:00:00"/>
    <s v="SEC005"/>
    <x v="4"/>
    <x v="4"/>
    <x v="1"/>
    <s v="USD"/>
    <x v="2"/>
    <n v="602.13"/>
    <n v="596.23"/>
    <n v="-0.98"/>
    <n v="229159"/>
    <x v="0"/>
    <x v="0"/>
    <x v="0"/>
  </r>
  <r>
    <d v="2025-08-01T00:00:00"/>
    <s v="SEC005"/>
    <x v="4"/>
    <x v="4"/>
    <x v="1"/>
    <s v="USD"/>
    <x v="0"/>
    <n v="596.23"/>
    <n v="600.34"/>
    <n v="0.69"/>
    <n v="1106326"/>
    <x v="0"/>
    <x v="0"/>
    <x v="0"/>
  </r>
  <r>
    <d v="2025-08-04T00:00:00"/>
    <s v="SEC005"/>
    <x v="4"/>
    <x v="4"/>
    <x v="1"/>
    <s v="USD"/>
    <x v="1"/>
    <n v="600.34"/>
    <n v="594.12"/>
    <n v="-1.04"/>
    <n v="1787761"/>
    <x v="0"/>
    <x v="0"/>
    <x v="0"/>
  </r>
  <r>
    <d v="2025-08-05T00:00:00"/>
    <s v="SEC005"/>
    <x v="4"/>
    <x v="4"/>
    <x v="1"/>
    <s v="USD"/>
    <x v="1"/>
    <n v="594.12"/>
    <n v="598.58000000000004"/>
    <n v="0.75"/>
    <n v="1287774"/>
    <x v="0"/>
    <x v="0"/>
    <x v="0"/>
  </r>
  <r>
    <d v="2025-08-06T00:00:00"/>
    <s v="SEC005"/>
    <x v="4"/>
    <x v="4"/>
    <x v="1"/>
    <s v="USD"/>
    <x v="0"/>
    <n v="598.58000000000004"/>
    <n v="595.39"/>
    <n v="-0.53"/>
    <n v="1140453"/>
    <x v="0"/>
    <x v="0"/>
    <x v="0"/>
  </r>
  <r>
    <d v="2025-08-07T00:00:00"/>
    <s v="SEC005"/>
    <x v="4"/>
    <x v="4"/>
    <x v="1"/>
    <s v="USD"/>
    <x v="3"/>
    <n v="595.39"/>
    <n v="599.65"/>
    <n v="0.72"/>
    <n v="266259"/>
    <x v="0"/>
    <x v="0"/>
    <x v="0"/>
  </r>
  <r>
    <d v="2025-08-08T00:00:00"/>
    <s v="SEC005"/>
    <x v="4"/>
    <x v="4"/>
    <x v="1"/>
    <s v="USD"/>
    <x v="1"/>
    <n v="599.65"/>
    <n v="592.66999999999996"/>
    <n v="-1.1599999999999999"/>
    <n v="2045914"/>
    <x v="0"/>
    <x v="0"/>
    <x v="0"/>
  </r>
  <r>
    <d v="2025-08-11T00:00:00"/>
    <s v="SEC005"/>
    <x v="4"/>
    <x v="4"/>
    <x v="1"/>
    <s v="USD"/>
    <x v="3"/>
    <n v="592.66999999999996"/>
    <n v="585.78"/>
    <n v="-1.1599999999999999"/>
    <n v="1113327"/>
    <x v="0"/>
    <x v="0"/>
    <x v="0"/>
  </r>
  <r>
    <d v="2025-08-12T00:00:00"/>
    <s v="SEC005"/>
    <x v="4"/>
    <x v="4"/>
    <x v="1"/>
    <s v="USD"/>
    <x v="2"/>
    <n v="585.78"/>
    <n v="586.15"/>
    <n v="0.06"/>
    <n v="4045040"/>
    <x v="0"/>
    <x v="0"/>
    <x v="0"/>
  </r>
  <r>
    <d v="2025-08-13T00:00:00"/>
    <s v="SEC005"/>
    <x v="4"/>
    <x v="4"/>
    <x v="1"/>
    <s v="USD"/>
    <x v="2"/>
    <n v="586.15"/>
    <n v="590.05999999999995"/>
    <n v="0.67"/>
    <n v="964811"/>
    <x v="0"/>
    <x v="0"/>
    <x v="0"/>
  </r>
  <r>
    <d v="2025-08-14T00:00:00"/>
    <s v="SEC005"/>
    <x v="4"/>
    <x v="4"/>
    <x v="1"/>
    <s v="USD"/>
    <x v="2"/>
    <n v="590.05999999999995"/>
    <n v="590.11"/>
    <n v="0.01"/>
    <n v="413772"/>
    <x v="0"/>
    <x v="0"/>
    <x v="0"/>
  </r>
  <r>
    <d v="2025-08-15T00:00:00"/>
    <s v="SEC005"/>
    <x v="4"/>
    <x v="4"/>
    <x v="1"/>
    <s v="USD"/>
    <x v="3"/>
    <n v="590.11"/>
    <n v="589.52"/>
    <n v="-0.1"/>
    <n v="560240"/>
    <x v="0"/>
    <x v="0"/>
    <x v="0"/>
  </r>
  <r>
    <d v="2025-08-18T00:00:00"/>
    <s v="SEC005"/>
    <x v="4"/>
    <x v="4"/>
    <x v="1"/>
    <s v="USD"/>
    <x v="2"/>
    <n v="589.52"/>
    <n v="594.42999999999995"/>
    <n v="0.83"/>
    <n v="955649"/>
    <x v="0"/>
    <x v="0"/>
    <x v="0"/>
  </r>
  <r>
    <d v="2025-08-19T00:00:00"/>
    <s v="SEC005"/>
    <x v="4"/>
    <x v="4"/>
    <x v="1"/>
    <s v="USD"/>
    <x v="2"/>
    <n v="594.42999999999995"/>
    <n v="597.46"/>
    <n v="0.51"/>
    <n v="727719"/>
    <x v="0"/>
    <x v="0"/>
    <x v="0"/>
  </r>
  <r>
    <d v="2025-08-20T00:00:00"/>
    <s v="SEC005"/>
    <x v="4"/>
    <x v="4"/>
    <x v="1"/>
    <s v="USD"/>
    <x v="3"/>
    <n v="597.46"/>
    <n v="599.02"/>
    <n v="0.26"/>
    <n v="2357001"/>
    <x v="0"/>
    <x v="0"/>
    <x v="0"/>
  </r>
  <r>
    <d v="2025-08-21T00:00:00"/>
    <s v="SEC005"/>
    <x v="4"/>
    <x v="4"/>
    <x v="1"/>
    <s v="USD"/>
    <x v="3"/>
    <n v="599.02"/>
    <n v="597.29999999999995"/>
    <n v="-0.28999999999999998"/>
    <n v="2523781"/>
    <x v="0"/>
    <x v="0"/>
    <x v="0"/>
  </r>
  <r>
    <d v="2025-08-22T00:00:00"/>
    <s v="SEC005"/>
    <x v="4"/>
    <x v="4"/>
    <x v="1"/>
    <s v="USD"/>
    <x v="2"/>
    <n v="597.29999999999995"/>
    <n v="597.38"/>
    <n v="0.01"/>
    <n v="1009774"/>
    <x v="0"/>
    <x v="0"/>
    <x v="0"/>
  </r>
  <r>
    <d v="2025-08-25T00:00:00"/>
    <s v="SEC005"/>
    <x v="4"/>
    <x v="4"/>
    <x v="1"/>
    <s v="USD"/>
    <x v="1"/>
    <n v="597.38"/>
    <n v="596.38"/>
    <n v="-0.17"/>
    <n v="3521319"/>
    <x v="0"/>
    <x v="0"/>
    <x v="0"/>
  </r>
  <r>
    <d v="2025-08-26T00:00:00"/>
    <s v="SEC005"/>
    <x v="4"/>
    <x v="4"/>
    <x v="1"/>
    <s v="USD"/>
    <x v="3"/>
    <n v="596.38"/>
    <n v="601.07000000000005"/>
    <n v="0.79"/>
    <n v="847637"/>
    <x v="0"/>
    <x v="0"/>
    <x v="0"/>
  </r>
  <r>
    <d v="2025-08-27T00:00:00"/>
    <s v="SEC005"/>
    <x v="4"/>
    <x v="4"/>
    <x v="1"/>
    <s v="USD"/>
    <x v="3"/>
    <n v="601.07000000000005"/>
    <n v="600.01"/>
    <n v="-0.18"/>
    <n v="3189864"/>
    <x v="0"/>
    <x v="0"/>
    <x v="0"/>
  </r>
  <r>
    <d v="2025-08-28T00:00:00"/>
    <s v="SEC005"/>
    <x v="4"/>
    <x v="4"/>
    <x v="1"/>
    <s v="USD"/>
    <x v="1"/>
    <n v="600.01"/>
    <n v="602.70000000000005"/>
    <n v="0.45"/>
    <n v="815248"/>
    <x v="0"/>
    <x v="0"/>
    <x v="0"/>
  </r>
  <r>
    <d v="2025-08-29T00:00:00"/>
    <s v="SEC005"/>
    <x v="4"/>
    <x v="4"/>
    <x v="1"/>
    <s v="USD"/>
    <x v="0"/>
    <n v="602.70000000000005"/>
    <n v="596.82000000000005"/>
    <n v="-0.98"/>
    <n v="3175988"/>
    <x v="0"/>
    <x v="0"/>
    <x v="0"/>
  </r>
  <r>
    <d v="2025-09-01T00:00:00"/>
    <s v="SEC005"/>
    <x v="4"/>
    <x v="4"/>
    <x v="1"/>
    <s v="USD"/>
    <x v="1"/>
    <n v="596.82000000000005"/>
    <n v="597.62"/>
    <n v="0.14000000000000001"/>
    <n v="4760928"/>
    <x v="0"/>
    <x v="0"/>
    <x v="0"/>
  </r>
  <r>
    <d v="2025-09-02T00:00:00"/>
    <s v="SEC005"/>
    <x v="4"/>
    <x v="4"/>
    <x v="1"/>
    <s v="USD"/>
    <x v="3"/>
    <n v="597.62"/>
    <n v="600.05999999999995"/>
    <n v="0.41"/>
    <n v="3597851"/>
    <x v="0"/>
    <x v="0"/>
    <x v="0"/>
  </r>
  <r>
    <d v="2025-09-03T00:00:00"/>
    <s v="SEC005"/>
    <x v="4"/>
    <x v="4"/>
    <x v="1"/>
    <s v="USD"/>
    <x v="0"/>
    <n v="600.05999999999995"/>
    <n v="606.80999999999995"/>
    <n v="1.1200000000000001"/>
    <n v="2999822"/>
    <x v="0"/>
    <x v="0"/>
    <x v="0"/>
  </r>
  <r>
    <d v="2025-09-04T00:00:00"/>
    <s v="SEC005"/>
    <x v="4"/>
    <x v="4"/>
    <x v="1"/>
    <s v="USD"/>
    <x v="0"/>
    <n v="606.80999999999995"/>
    <n v="607.94000000000005"/>
    <n v="0.19"/>
    <n v="4094897"/>
    <x v="0"/>
    <x v="0"/>
    <x v="0"/>
  </r>
  <r>
    <d v="2025-09-05T00:00:00"/>
    <s v="SEC005"/>
    <x v="4"/>
    <x v="4"/>
    <x v="1"/>
    <s v="USD"/>
    <x v="1"/>
    <n v="607.94000000000005"/>
    <n v="613.01"/>
    <n v="0.83"/>
    <n v="4716293"/>
    <x v="0"/>
    <x v="0"/>
    <x v="0"/>
  </r>
  <r>
    <d v="2025-09-08T00:00:00"/>
    <s v="SEC005"/>
    <x v="4"/>
    <x v="4"/>
    <x v="1"/>
    <s v="USD"/>
    <x v="3"/>
    <n v="613.01"/>
    <n v="607.34"/>
    <n v="-0.92"/>
    <n v="1947159"/>
    <x v="0"/>
    <x v="0"/>
    <x v="0"/>
  </r>
  <r>
    <d v="2025-09-09T00:00:00"/>
    <s v="SEC005"/>
    <x v="4"/>
    <x v="4"/>
    <x v="1"/>
    <s v="USD"/>
    <x v="2"/>
    <n v="607.34"/>
    <n v="612.38"/>
    <n v="0.83"/>
    <n v="4720271"/>
    <x v="0"/>
    <x v="0"/>
    <x v="0"/>
  </r>
  <r>
    <d v="2025-09-10T00:00:00"/>
    <s v="SEC005"/>
    <x v="4"/>
    <x v="4"/>
    <x v="1"/>
    <s v="USD"/>
    <x v="0"/>
    <n v="612.38"/>
    <n v="613.98"/>
    <n v="0.26"/>
    <n v="2293514"/>
    <x v="0"/>
    <x v="0"/>
    <x v="0"/>
  </r>
  <r>
    <d v="2025-09-11T00:00:00"/>
    <s v="SEC005"/>
    <x v="4"/>
    <x v="4"/>
    <x v="1"/>
    <s v="USD"/>
    <x v="0"/>
    <n v="613.98"/>
    <n v="609.27"/>
    <n v="-0.77"/>
    <n v="2641951"/>
    <x v="0"/>
    <x v="0"/>
    <x v="0"/>
  </r>
  <r>
    <d v="2025-09-12T00:00:00"/>
    <s v="SEC005"/>
    <x v="4"/>
    <x v="4"/>
    <x v="1"/>
    <s v="USD"/>
    <x v="3"/>
    <n v="609.27"/>
    <n v="607.09"/>
    <n v="-0.36"/>
    <n v="1251680"/>
    <x v="0"/>
    <x v="0"/>
    <x v="0"/>
  </r>
  <r>
    <d v="2025-09-15T00:00:00"/>
    <s v="SEC005"/>
    <x v="4"/>
    <x v="4"/>
    <x v="1"/>
    <s v="USD"/>
    <x v="2"/>
    <n v="607.09"/>
    <n v="600.82000000000005"/>
    <n v="-1.03"/>
    <n v="307170"/>
    <x v="0"/>
    <x v="0"/>
    <x v="0"/>
  </r>
  <r>
    <d v="2025-09-16T00:00:00"/>
    <s v="SEC005"/>
    <x v="4"/>
    <x v="4"/>
    <x v="1"/>
    <s v="USD"/>
    <x v="0"/>
    <n v="600.82000000000005"/>
    <n v="604.37"/>
    <n v="0.59"/>
    <n v="3571810"/>
    <x v="0"/>
    <x v="0"/>
    <x v="0"/>
  </r>
  <r>
    <d v="2025-09-17T00:00:00"/>
    <s v="SEC005"/>
    <x v="4"/>
    <x v="4"/>
    <x v="1"/>
    <s v="USD"/>
    <x v="2"/>
    <n v="604.37"/>
    <n v="602.05999999999995"/>
    <n v="-0.38"/>
    <n v="2771120"/>
    <x v="0"/>
    <x v="0"/>
    <x v="0"/>
  </r>
  <r>
    <d v="2025-09-18T00:00:00"/>
    <s v="SEC005"/>
    <x v="4"/>
    <x v="4"/>
    <x v="1"/>
    <s v="USD"/>
    <x v="0"/>
    <n v="602.05999999999995"/>
    <n v="607.6"/>
    <n v="0.92"/>
    <n v="467438"/>
    <x v="0"/>
    <x v="0"/>
    <x v="0"/>
  </r>
  <r>
    <d v="2025-09-19T00:00:00"/>
    <s v="SEC005"/>
    <x v="4"/>
    <x v="4"/>
    <x v="1"/>
    <s v="USD"/>
    <x v="0"/>
    <n v="607.6"/>
    <n v="604.28"/>
    <n v="-0.55000000000000004"/>
    <n v="4124025"/>
    <x v="0"/>
    <x v="0"/>
    <x v="0"/>
  </r>
  <r>
    <d v="2025-09-22T00:00:00"/>
    <s v="SEC005"/>
    <x v="4"/>
    <x v="4"/>
    <x v="1"/>
    <s v="USD"/>
    <x v="2"/>
    <n v="604.28"/>
    <n v="603.03"/>
    <n v="-0.21"/>
    <n v="4347872"/>
    <x v="0"/>
    <x v="0"/>
    <x v="0"/>
  </r>
  <r>
    <d v="2025-07-01T00:00:00"/>
    <s v="SEC006"/>
    <x v="5"/>
    <x v="5"/>
    <x v="1"/>
    <s v="USD"/>
    <x v="0"/>
    <n v="440"/>
    <n v="438.37"/>
    <n v="-0.37"/>
    <n v="4132171"/>
    <x v="0"/>
    <x v="0"/>
    <x v="0"/>
  </r>
  <r>
    <d v="2025-07-02T00:00:00"/>
    <s v="SEC006"/>
    <x v="5"/>
    <x v="5"/>
    <x v="1"/>
    <s v="USD"/>
    <x v="3"/>
    <n v="438.37"/>
    <n v="433.58"/>
    <n v="-1.0900000000000001"/>
    <n v="509544"/>
    <x v="0"/>
    <x v="0"/>
    <x v="0"/>
  </r>
  <r>
    <d v="2025-07-03T00:00:00"/>
    <s v="SEC006"/>
    <x v="5"/>
    <x v="5"/>
    <x v="1"/>
    <s v="USD"/>
    <x v="0"/>
    <n v="433.58"/>
    <n v="430.51"/>
    <n v="-0.71"/>
    <n v="1201208"/>
    <x v="0"/>
    <x v="0"/>
    <x v="0"/>
  </r>
  <r>
    <d v="2025-07-04T00:00:00"/>
    <s v="SEC006"/>
    <x v="5"/>
    <x v="5"/>
    <x v="1"/>
    <s v="USD"/>
    <x v="3"/>
    <n v="430.51"/>
    <n v="428.33"/>
    <n v="-0.51"/>
    <n v="4222370"/>
    <x v="0"/>
    <x v="0"/>
    <x v="0"/>
  </r>
  <r>
    <d v="2025-07-07T00:00:00"/>
    <s v="SEC006"/>
    <x v="5"/>
    <x v="5"/>
    <x v="1"/>
    <s v="USD"/>
    <x v="2"/>
    <n v="428.33"/>
    <n v="425"/>
    <n v="-0.78"/>
    <n v="1980308"/>
    <x v="0"/>
    <x v="0"/>
    <x v="0"/>
  </r>
  <r>
    <d v="2025-07-08T00:00:00"/>
    <s v="SEC006"/>
    <x v="5"/>
    <x v="5"/>
    <x v="1"/>
    <s v="USD"/>
    <x v="3"/>
    <n v="425"/>
    <n v="420.63"/>
    <n v="-1.03"/>
    <n v="404857"/>
    <x v="0"/>
    <x v="0"/>
    <x v="0"/>
  </r>
  <r>
    <d v="2025-07-09T00:00:00"/>
    <s v="SEC006"/>
    <x v="5"/>
    <x v="5"/>
    <x v="1"/>
    <s v="USD"/>
    <x v="2"/>
    <n v="420.63"/>
    <n v="415.77"/>
    <n v="-1.1599999999999999"/>
    <n v="2676142"/>
    <x v="0"/>
    <x v="0"/>
    <x v="0"/>
  </r>
  <r>
    <d v="2025-07-10T00:00:00"/>
    <s v="SEC006"/>
    <x v="5"/>
    <x v="5"/>
    <x v="1"/>
    <s v="USD"/>
    <x v="2"/>
    <n v="415.77"/>
    <n v="416.51"/>
    <n v="0.18"/>
    <n v="3553870"/>
    <x v="0"/>
    <x v="0"/>
    <x v="0"/>
  </r>
  <r>
    <d v="2025-07-11T00:00:00"/>
    <s v="SEC006"/>
    <x v="5"/>
    <x v="5"/>
    <x v="1"/>
    <s v="USD"/>
    <x v="3"/>
    <n v="416.51"/>
    <n v="458.99"/>
    <n v="10.199999999999999"/>
    <n v="1491776"/>
    <x v="1"/>
    <x v="1"/>
    <x v="1"/>
  </r>
  <r>
    <d v="2025-07-14T00:00:00"/>
    <s v="SEC006"/>
    <x v="5"/>
    <x v="5"/>
    <x v="1"/>
    <s v="USD"/>
    <x v="2"/>
    <n v="458.99"/>
    <n v="462.65"/>
    <n v="0.8"/>
    <n v="789287"/>
    <x v="0"/>
    <x v="0"/>
    <x v="0"/>
  </r>
  <r>
    <d v="2025-07-15T00:00:00"/>
    <s v="SEC006"/>
    <x v="5"/>
    <x v="5"/>
    <x v="1"/>
    <s v="USD"/>
    <x v="2"/>
    <n v="462.65"/>
    <n v="466.47"/>
    <n v="0.83"/>
    <n v="4989810"/>
    <x v="0"/>
    <x v="0"/>
    <x v="0"/>
  </r>
  <r>
    <d v="2025-07-16T00:00:00"/>
    <s v="SEC006"/>
    <x v="5"/>
    <x v="5"/>
    <x v="1"/>
    <s v="USD"/>
    <x v="2"/>
    <n v="466.47"/>
    <n v="466.74"/>
    <n v="0.06"/>
    <n v="2652771"/>
    <x v="0"/>
    <x v="0"/>
    <x v="0"/>
  </r>
  <r>
    <d v="2025-07-17T00:00:00"/>
    <s v="SEC006"/>
    <x v="5"/>
    <x v="5"/>
    <x v="1"/>
    <s v="USD"/>
    <x v="3"/>
    <n v="466.74"/>
    <n v="463.62"/>
    <n v="-0.67"/>
    <n v="690716"/>
    <x v="0"/>
    <x v="0"/>
    <x v="0"/>
  </r>
  <r>
    <d v="2025-07-18T00:00:00"/>
    <s v="SEC006"/>
    <x v="5"/>
    <x v="5"/>
    <x v="1"/>
    <s v="USD"/>
    <x v="0"/>
    <n v="463.62"/>
    <n v="463.96"/>
    <n v="7.0000000000000007E-2"/>
    <n v="2980772"/>
    <x v="0"/>
    <x v="0"/>
    <x v="0"/>
  </r>
  <r>
    <d v="2025-07-21T00:00:00"/>
    <s v="SEC006"/>
    <x v="5"/>
    <x v="5"/>
    <x v="1"/>
    <s v="USD"/>
    <x v="3"/>
    <n v="463.96"/>
    <n v="466.49"/>
    <n v="0.55000000000000004"/>
    <n v="1288912"/>
    <x v="0"/>
    <x v="0"/>
    <x v="0"/>
  </r>
  <r>
    <d v="2025-07-22T00:00:00"/>
    <s v="SEC006"/>
    <x v="5"/>
    <x v="5"/>
    <x v="1"/>
    <s v="USD"/>
    <x v="1"/>
    <n v="466.49"/>
    <n v="462.05"/>
    <n v="-0.95"/>
    <n v="1505415"/>
    <x v="0"/>
    <x v="0"/>
    <x v="0"/>
  </r>
  <r>
    <d v="2025-07-23T00:00:00"/>
    <s v="SEC006"/>
    <x v="5"/>
    <x v="5"/>
    <x v="1"/>
    <s v="USD"/>
    <x v="1"/>
    <n v="462.05"/>
    <n v="464.93"/>
    <n v="0.62"/>
    <n v="1536009"/>
    <x v="0"/>
    <x v="0"/>
    <x v="0"/>
  </r>
  <r>
    <d v="2025-07-24T00:00:00"/>
    <s v="SEC006"/>
    <x v="5"/>
    <x v="5"/>
    <x v="1"/>
    <s v="USD"/>
    <x v="2"/>
    <n v="464.93"/>
    <n v="464.53"/>
    <n v="-0.09"/>
    <n v="4910930"/>
    <x v="0"/>
    <x v="0"/>
    <x v="0"/>
  </r>
  <r>
    <d v="2025-07-25T00:00:00"/>
    <s v="SEC006"/>
    <x v="5"/>
    <x v="5"/>
    <x v="1"/>
    <s v="USD"/>
    <x v="2"/>
    <n v="464.53"/>
    <n v="466.55"/>
    <n v="0.43"/>
    <n v="2761267"/>
    <x v="0"/>
    <x v="0"/>
    <x v="0"/>
  </r>
  <r>
    <d v="2025-07-28T00:00:00"/>
    <s v="SEC006"/>
    <x v="5"/>
    <x v="5"/>
    <x v="1"/>
    <s v="USD"/>
    <x v="3"/>
    <n v="466.55"/>
    <n v="462.64"/>
    <n v="-0.84"/>
    <n v="3759510"/>
    <x v="0"/>
    <x v="0"/>
    <x v="0"/>
  </r>
  <r>
    <d v="2025-07-29T00:00:00"/>
    <s v="SEC006"/>
    <x v="5"/>
    <x v="5"/>
    <x v="1"/>
    <s v="USD"/>
    <x v="3"/>
    <n v="462.64"/>
    <n v="465.93"/>
    <n v="0.71"/>
    <n v="3002305"/>
    <x v="0"/>
    <x v="0"/>
    <x v="0"/>
  </r>
  <r>
    <d v="2025-07-30T00:00:00"/>
    <s v="SEC006"/>
    <x v="5"/>
    <x v="5"/>
    <x v="1"/>
    <s v="USD"/>
    <x v="0"/>
    <n v="465.93"/>
    <n v="463.81"/>
    <n v="-0.46"/>
    <n v="527228"/>
    <x v="0"/>
    <x v="0"/>
    <x v="0"/>
  </r>
  <r>
    <d v="2025-07-31T00:00:00"/>
    <s v="SEC006"/>
    <x v="5"/>
    <x v="5"/>
    <x v="1"/>
    <s v="USD"/>
    <x v="3"/>
    <n v="463.81"/>
    <n v="467.5"/>
    <n v="0.8"/>
    <n v="807461"/>
    <x v="0"/>
    <x v="0"/>
    <x v="0"/>
  </r>
  <r>
    <d v="2025-08-01T00:00:00"/>
    <s v="SEC006"/>
    <x v="5"/>
    <x v="5"/>
    <x v="1"/>
    <s v="USD"/>
    <x v="2"/>
    <n v="467.5"/>
    <n v="467.09"/>
    <n v="-0.09"/>
    <n v="394123"/>
    <x v="0"/>
    <x v="0"/>
    <x v="0"/>
  </r>
  <r>
    <d v="2025-08-04T00:00:00"/>
    <s v="SEC006"/>
    <x v="5"/>
    <x v="5"/>
    <x v="1"/>
    <s v="USD"/>
    <x v="2"/>
    <n v="467.09"/>
    <n v="471.67"/>
    <n v="0.98"/>
    <n v="1629067"/>
    <x v="0"/>
    <x v="0"/>
    <x v="0"/>
  </r>
  <r>
    <d v="2025-08-05T00:00:00"/>
    <s v="SEC006"/>
    <x v="5"/>
    <x v="5"/>
    <x v="1"/>
    <s v="USD"/>
    <x v="3"/>
    <n v="471.67"/>
    <n v="472.86"/>
    <n v="0.25"/>
    <n v="569034"/>
    <x v="0"/>
    <x v="0"/>
    <x v="0"/>
  </r>
  <r>
    <d v="2025-08-06T00:00:00"/>
    <s v="SEC006"/>
    <x v="5"/>
    <x v="5"/>
    <x v="1"/>
    <s v="USD"/>
    <x v="2"/>
    <n v="472.86"/>
    <n v="468.36"/>
    <n v="-0.95"/>
    <n v="2930964"/>
    <x v="0"/>
    <x v="0"/>
    <x v="0"/>
  </r>
  <r>
    <d v="2025-08-07T00:00:00"/>
    <s v="SEC006"/>
    <x v="5"/>
    <x v="5"/>
    <x v="1"/>
    <s v="USD"/>
    <x v="0"/>
    <n v="468.36"/>
    <n v="468.41"/>
    <n v="0.01"/>
    <n v="2128224"/>
    <x v="0"/>
    <x v="0"/>
    <x v="0"/>
  </r>
  <r>
    <d v="2025-08-08T00:00:00"/>
    <s v="SEC006"/>
    <x v="5"/>
    <x v="5"/>
    <x v="1"/>
    <s v="USD"/>
    <x v="2"/>
    <n v="468.41"/>
    <n v="473.93"/>
    <n v="1.18"/>
    <n v="1381659"/>
    <x v="0"/>
    <x v="0"/>
    <x v="0"/>
  </r>
  <r>
    <d v="2025-08-11T00:00:00"/>
    <s v="SEC006"/>
    <x v="5"/>
    <x v="5"/>
    <x v="1"/>
    <s v="USD"/>
    <x v="3"/>
    <n v="473.93"/>
    <n v="472.49"/>
    <n v="-0.31"/>
    <n v="3479006"/>
    <x v="0"/>
    <x v="0"/>
    <x v="0"/>
  </r>
  <r>
    <d v="2025-08-12T00:00:00"/>
    <s v="SEC006"/>
    <x v="5"/>
    <x v="5"/>
    <x v="1"/>
    <s v="USD"/>
    <x v="3"/>
    <n v="472.49"/>
    <n v="474.51"/>
    <n v="0.43"/>
    <n v="2857242"/>
    <x v="0"/>
    <x v="0"/>
    <x v="0"/>
  </r>
  <r>
    <d v="2025-08-13T00:00:00"/>
    <s v="SEC006"/>
    <x v="5"/>
    <x v="5"/>
    <x v="1"/>
    <s v="USD"/>
    <x v="0"/>
    <n v="474.51"/>
    <n v="472.57"/>
    <n v="-0.41"/>
    <n v="3292735"/>
    <x v="0"/>
    <x v="0"/>
    <x v="0"/>
  </r>
  <r>
    <d v="2025-08-14T00:00:00"/>
    <s v="SEC006"/>
    <x v="5"/>
    <x v="5"/>
    <x v="1"/>
    <s v="USD"/>
    <x v="3"/>
    <n v="472.57"/>
    <n v="469.76"/>
    <n v="-0.6"/>
    <n v="1311422"/>
    <x v="0"/>
    <x v="0"/>
    <x v="0"/>
  </r>
  <r>
    <d v="2025-08-15T00:00:00"/>
    <s v="SEC006"/>
    <x v="5"/>
    <x v="5"/>
    <x v="1"/>
    <s v="USD"/>
    <x v="3"/>
    <n v="469.76"/>
    <n v="465.04"/>
    <n v="-1"/>
    <n v="2984509"/>
    <x v="0"/>
    <x v="0"/>
    <x v="0"/>
  </r>
  <r>
    <d v="2025-08-18T00:00:00"/>
    <s v="SEC006"/>
    <x v="5"/>
    <x v="5"/>
    <x v="1"/>
    <s v="USD"/>
    <x v="3"/>
    <n v="465.04"/>
    <n v="470.26"/>
    <n v="1.1200000000000001"/>
    <n v="3337981"/>
    <x v="0"/>
    <x v="0"/>
    <x v="0"/>
  </r>
  <r>
    <d v="2025-08-19T00:00:00"/>
    <s v="SEC006"/>
    <x v="5"/>
    <x v="5"/>
    <x v="1"/>
    <s v="USD"/>
    <x v="1"/>
    <n v="470.26"/>
    <n v="471.34"/>
    <n v="0.23"/>
    <n v="2646961"/>
    <x v="0"/>
    <x v="0"/>
    <x v="0"/>
  </r>
  <r>
    <d v="2025-08-20T00:00:00"/>
    <s v="SEC006"/>
    <x v="5"/>
    <x v="5"/>
    <x v="1"/>
    <s v="USD"/>
    <x v="2"/>
    <n v="471.34"/>
    <n v="472.96"/>
    <n v="0.34"/>
    <n v="1122011"/>
    <x v="0"/>
    <x v="0"/>
    <x v="0"/>
  </r>
  <r>
    <d v="2025-08-21T00:00:00"/>
    <s v="SEC006"/>
    <x v="5"/>
    <x v="5"/>
    <x v="1"/>
    <s v="USD"/>
    <x v="0"/>
    <n v="472.96"/>
    <n v="474.62"/>
    <n v="0.35"/>
    <n v="3085234"/>
    <x v="0"/>
    <x v="0"/>
    <x v="0"/>
  </r>
  <r>
    <d v="2025-08-22T00:00:00"/>
    <s v="SEC006"/>
    <x v="5"/>
    <x v="5"/>
    <x v="1"/>
    <s v="USD"/>
    <x v="0"/>
    <n v="474.62"/>
    <n v="473.05"/>
    <n v="-0.33"/>
    <n v="1846778"/>
    <x v="0"/>
    <x v="0"/>
    <x v="0"/>
  </r>
  <r>
    <d v="2025-08-25T00:00:00"/>
    <s v="SEC006"/>
    <x v="5"/>
    <x v="5"/>
    <x v="1"/>
    <s v="USD"/>
    <x v="3"/>
    <n v="473.05"/>
    <n v="478.13"/>
    <n v="1.07"/>
    <n v="1950380"/>
    <x v="0"/>
    <x v="0"/>
    <x v="0"/>
  </r>
  <r>
    <d v="2025-08-26T00:00:00"/>
    <s v="SEC006"/>
    <x v="5"/>
    <x v="5"/>
    <x v="1"/>
    <s v="USD"/>
    <x v="1"/>
    <n v="478.13"/>
    <n v="474.17"/>
    <n v="-0.83"/>
    <n v="898430"/>
    <x v="0"/>
    <x v="0"/>
    <x v="0"/>
  </r>
  <r>
    <d v="2025-08-27T00:00:00"/>
    <s v="SEC006"/>
    <x v="5"/>
    <x v="5"/>
    <x v="1"/>
    <s v="USD"/>
    <x v="0"/>
    <n v="474.17"/>
    <n v="476.02"/>
    <n v="0.39"/>
    <n v="1149319"/>
    <x v="0"/>
    <x v="0"/>
    <x v="0"/>
  </r>
  <r>
    <d v="2025-08-28T00:00:00"/>
    <s v="SEC006"/>
    <x v="5"/>
    <x v="5"/>
    <x v="1"/>
    <s v="USD"/>
    <x v="2"/>
    <n v="476.02"/>
    <n v="472.07"/>
    <n v="-0.83"/>
    <n v="1438643"/>
    <x v="0"/>
    <x v="0"/>
    <x v="0"/>
  </r>
  <r>
    <d v="2025-08-29T00:00:00"/>
    <s v="SEC006"/>
    <x v="5"/>
    <x v="5"/>
    <x v="1"/>
    <s v="USD"/>
    <x v="2"/>
    <n v="472.07"/>
    <n v="466.9"/>
    <n v="-1.1000000000000001"/>
    <n v="2042547"/>
    <x v="0"/>
    <x v="0"/>
    <x v="0"/>
  </r>
  <r>
    <d v="2025-09-01T00:00:00"/>
    <s v="SEC006"/>
    <x v="5"/>
    <x v="5"/>
    <x v="1"/>
    <s v="USD"/>
    <x v="2"/>
    <n v="466.9"/>
    <n v="468.14"/>
    <n v="0.27"/>
    <n v="3815880"/>
    <x v="0"/>
    <x v="0"/>
    <x v="0"/>
  </r>
  <r>
    <d v="2025-09-02T00:00:00"/>
    <s v="SEC006"/>
    <x v="5"/>
    <x v="5"/>
    <x v="1"/>
    <s v="USD"/>
    <x v="1"/>
    <n v="468.14"/>
    <n v="468.52"/>
    <n v="0.08"/>
    <n v="3984388"/>
    <x v="0"/>
    <x v="0"/>
    <x v="0"/>
  </r>
  <r>
    <d v="2025-09-03T00:00:00"/>
    <s v="SEC006"/>
    <x v="5"/>
    <x v="5"/>
    <x v="1"/>
    <s v="USD"/>
    <x v="1"/>
    <n v="468.52"/>
    <n v="467.03"/>
    <n v="-0.32"/>
    <n v="3745998"/>
    <x v="0"/>
    <x v="0"/>
    <x v="0"/>
  </r>
  <r>
    <d v="2025-09-04T00:00:00"/>
    <s v="SEC006"/>
    <x v="5"/>
    <x v="5"/>
    <x v="1"/>
    <s v="USD"/>
    <x v="2"/>
    <n v="467.03"/>
    <n v="470.05"/>
    <n v="0.65"/>
    <n v="4268687"/>
    <x v="0"/>
    <x v="0"/>
    <x v="0"/>
  </r>
  <r>
    <d v="2025-09-05T00:00:00"/>
    <s v="SEC006"/>
    <x v="5"/>
    <x v="5"/>
    <x v="1"/>
    <s v="USD"/>
    <x v="2"/>
    <n v="470.05"/>
    <n v="475.31"/>
    <n v="1.1200000000000001"/>
    <n v="1210971"/>
    <x v="0"/>
    <x v="0"/>
    <x v="0"/>
  </r>
  <r>
    <d v="2025-09-08T00:00:00"/>
    <s v="SEC006"/>
    <x v="5"/>
    <x v="5"/>
    <x v="1"/>
    <s v="USD"/>
    <x v="3"/>
    <n v="475.31"/>
    <n v="470.2"/>
    <n v="-1.07"/>
    <n v="3163952"/>
    <x v="0"/>
    <x v="0"/>
    <x v="0"/>
  </r>
  <r>
    <d v="2025-09-09T00:00:00"/>
    <s v="SEC006"/>
    <x v="5"/>
    <x v="5"/>
    <x v="1"/>
    <s v="USD"/>
    <x v="0"/>
    <n v="470.2"/>
    <n v="472.59"/>
    <n v="0.51"/>
    <n v="1095872"/>
    <x v="0"/>
    <x v="0"/>
    <x v="0"/>
  </r>
  <r>
    <d v="2025-09-10T00:00:00"/>
    <s v="SEC006"/>
    <x v="5"/>
    <x v="5"/>
    <x v="1"/>
    <s v="USD"/>
    <x v="3"/>
    <n v="472.59"/>
    <n v="467.87"/>
    <n v="-1"/>
    <n v="3819162"/>
    <x v="0"/>
    <x v="0"/>
    <x v="0"/>
  </r>
  <r>
    <d v="2025-09-11T00:00:00"/>
    <s v="SEC006"/>
    <x v="5"/>
    <x v="5"/>
    <x v="1"/>
    <s v="USD"/>
    <x v="1"/>
    <n v="467.87"/>
    <n v="471.59"/>
    <n v="0.79"/>
    <n v="1912589"/>
    <x v="0"/>
    <x v="0"/>
    <x v="0"/>
  </r>
  <r>
    <d v="2025-09-12T00:00:00"/>
    <s v="SEC006"/>
    <x v="5"/>
    <x v="5"/>
    <x v="1"/>
    <s v="USD"/>
    <x v="2"/>
    <n v="471.59"/>
    <n v="475.94"/>
    <n v="0.92"/>
    <n v="3530407"/>
    <x v="0"/>
    <x v="0"/>
    <x v="0"/>
  </r>
  <r>
    <d v="2025-09-15T00:00:00"/>
    <s v="SEC006"/>
    <x v="5"/>
    <x v="5"/>
    <x v="1"/>
    <s v="USD"/>
    <x v="0"/>
    <n v="475.94"/>
    <n v="474.76"/>
    <n v="-0.25"/>
    <n v="3289396"/>
    <x v="0"/>
    <x v="0"/>
    <x v="0"/>
  </r>
  <r>
    <d v="2025-09-16T00:00:00"/>
    <s v="SEC006"/>
    <x v="5"/>
    <x v="5"/>
    <x v="1"/>
    <s v="USD"/>
    <x v="0"/>
    <n v="474.76"/>
    <n v="511.79"/>
    <n v="7.8"/>
    <n v="2862619"/>
    <x v="1"/>
    <x v="1"/>
    <x v="1"/>
  </r>
  <r>
    <d v="2025-09-17T00:00:00"/>
    <s v="SEC006"/>
    <x v="5"/>
    <x v="5"/>
    <x v="1"/>
    <s v="USD"/>
    <x v="1"/>
    <n v="511.79"/>
    <n v="507.34"/>
    <n v="-0.87"/>
    <n v="4013239"/>
    <x v="0"/>
    <x v="0"/>
    <x v="0"/>
  </r>
  <r>
    <d v="2025-09-18T00:00:00"/>
    <s v="SEC006"/>
    <x v="5"/>
    <x v="5"/>
    <x v="1"/>
    <s v="USD"/>
    <x v="1"/>
    <n v="507.34"/>
    <n v="510.49"/>
    <n v="0.62"/>
    <n v="94050"/>
    <x v="0"/>
    <x v="0"/>
    <x v="0"/>
  </r>
  <r>
    <d v="2025-09-19T00:00:00"/>
    <s v="SEC006"/>
    <x v="5"/>
    <x v="5"/>
    <x v="1"/>
    <s v="USD"/>
    <x v="0"/>
    <n v="510.49"/>
    <n v="504.6"/>
    <n v="-1.1499999999999999"/>
    <n v="1304261"/>
    <x v="0"/>
    <x v="0"/>
    <x v="0"/>
  </r>
  <r>
    <d v="2025-09-22T00:00:00"/>
    <s v="SEC006"/>
    <x v="5"/>
    <x v="5"/>
    <x v="1"/>
    <s v="USD"/>
    <x v="2"/>
    <n v="504.6"/>
    <n v="499.89"/>
    <n v="-0.93"/>
    <n v="2576239"/>
    <x v="0"/>
    <x v="0"/>
    <x v="0"/>
  </r>
  <r>
    <d v="2025-07-01T00:00:00"/>
    <s v="SEC007"/>
    <x v="6"/>
    <x v="6"/>
    <x v="2"/>
    <s v="USD"/>
    <x v="0"/>
    <n v="65000"/>
    <n v="62354.33"/>
    <n v="-4.07"/>
    <n v="3884546"/>
    <x v="0"/>
    <x v="0"/>
    <x v="0"/>
  </r>
  <r>
    <d v="2025-07-02T00:00:00"/>
    <s v="SEC007"/>
    <x v="6"/>
    <x v="6"/>
    <x v="2"/>
    <s v="USD"/>
    <x v="0"/>
    <n v="62354.33"/>
    <n v="60170.51"/>
    <n v="-3.5"/>
    <n v="4546745"/>
    <x v="0"/>
    <x v="0"/>
    <x v="0"/>
  </r>
  <r>
    <d v="2025-07-03T00:00:00"/>
    <s v="SEC007"/>
    <x v="6"/>
    <x v="6"/>
    <x v="2"/>
    <s v="USD"/>
    <x v="0"/>
    <n v="60170.51"/>
    <n v="60885.09"/>
    <n v="1.19"/>
    <n v="1254409"/>
    <x v="0"/>
    <x v="0"/>
    <x v="0"/>
  </r>
  <r>
    <d v="2025-07-04T00:00:00"/>
    <s v="SEC007"/>
    <x v="6"/>
    <x v="6"/>
    <x v="2"/>
    <s v="USD"/>
    <x v="3"/>
    <n v="60885.09"/>
    <n v="60497.35"/>
    <n v="-0.64"/>
    <n v="2067999"/>
    <x v="0"/>
    <x v="0"/>
    <x v="0"/>
  </r>
  <r>
    <d v="2025-07-07T00:00:00"/>
    <s v="SEC007"/>
    <x v="6"/>
    <x v="6"/>
    <x v="2"/>
    <s v="USD"/>
    <x v="2"/>
    <n v="60497.35"/>
    <n v="58794.85"/>
    <n v="-2.81"/>
    <n v="4441306"/>
    <x v="0"/>
    <x v="0"/>
    <x v="0"/>
  </r>
  <r>
    <d v="2025-07-08T00:00:00"/>
    <s v="SEC007"/>
    <x v="6"/>
    <x v="6"/>
    <x v="2"/>
    <s v="USD"/>
    <x v="3"/>
    <n v="58794.85"/>
    <n v="56507.199999999997"/>
    <n v="-3.89"/>
    <n v="4305773"/>
    <x v="0"/>
    <x v="0"/>
    <x v="0"/>
  </r>
  <r>
    <d v="2025-07-09T00:00:00"/>
    <s v="SEC007"/>
    <x v="6"/>
    <x v="6"/>
    <x v="2"/>
    <s v="USD"/>
    <x v="0"/>
    <n v="56507.199999999997"/>
    <n v="55950.09"/>
    <n v="-0.99"/>
    <n v="3295395"/>
    <x v="0"/>
    <x v="0"/>
    <x v="0"/>
  </r>
  <r>
    <d v="2025-07-10T00:00:00"/>
    <s v="SEC007"/>
    <x v="6"/>
    <x v="6"/>
    <x v="2"/>
    <s v="USD"/>
    <x v="3"/>
    <n v="55950.09"/>
    <n v="60314.2"/>
    <n v="7.8"/>
    <n v="2942412"/>
    <x v="1"/>
    <x v="1"/>
    <x v="1"/>
  </r>
  <r>
    <d v="2025-07-11T00:00:00"/>
    <s v="SEC007"/>
    <x v="6"/>
    <x v="6"/>
    <x v="2"/>
    <s v="USD"/>
    <x v="1"/>
    <n v="60314.2"/>
    <n v="61578.67"/>
    <n v="2.1"/>
    <n v="4931358"/>
    <x v="0"/>
    <x v="0"/>
    <x v="0"/>
  </r>
  <r>
    <d v="2025-07-14T00:00:00"/>
    <s v="SEC007"/>
    <x v="6"/>
    <x v="6"/>
    <x v="2"/>
    <s v="USD"/>
    <x v="3"/>
    <n v="61578.67"/>
    <n v="59546.99"/>
    <n v="-3.3"/>
    <n v="2889940"/>
    <x v="0"/>
    <x v="0"/>
    <x v="0"/>
  </r>
  <r>
    <d v="2025-07-15T00:00:00"/>
    <s v="SEC007"/>
    <x v="6"/>
    <x v="6"/>
    <x v="2"/>
    <s v="USD"/>
    <x v="1"/>
    <n v="59546.99"/>
    <n v="61317.599999999999"/>
    <n v="2.97"/>
    <n v="4064210"/>
    <x v="0"/>
    <x v="0"/>
    <x v="0"/>
  </r>
  <r>
    <d v="2025-07-16T00:00:00"/>
    <s v="SEC007"/>
    <x v="6"/>
    <x v="6"/>
    <x v="2"/>
    <s v="USD"/>
    <x v="1"/>
    <n v="61317.599999999999"/>
    <n v="63036.62"/>
    <n v="2.8"/>
    <n v="3889294"/>
    <x v="0"/>
    <x v="0"/>
    <x v="0"/>
  </r>
  <r>
    <d v="2025-07-17T00:00:00"/>
    <s v="SEC007"/>
    <x v="6"/>
    <x v="6"/>
    <x v="2"/>
    <s v="USD"/>
    <x v="0"/>
    <n v="63036.62"/>
    <n v="63036.62"/>
    <n v="0"/>
    <n v="1723274"/>
    <x v="1"/>
    <x v="1"/>
    <x v="2"/>
  </r>
  <r>
    <d v="2025-07-18T00:00:00"/>
    <s v="SEC007"/>
    <x v="6"/>
    <x v="6"/>
    <x v="2"/>
    <s v="USD"/>
    <x v="0"/>
    <n v="63036.62"/>
    <n v="61990.44"/>
    <n v="-1.66"/>
    <n v="3390545"/>
    <x v="0"/>
    <x v="0"/>
    <x v="0"/>
  </r>
  <r>
    <d v="2025-07-21T00:00:00"/>
    <s v="SEC007"/>
    <x v="6"/>
    <x v="6"/>
    <x v="2"/>
    <s v="USD"/>
    <x v="2"/>
    <n v="61990.44"/>
    <n v="60614.14"/>
    <n v="-2.2200000000000002"/>
    <n v="1653091"/>
    <x v="0"/>
    <x v="0"/>
    <x v="0"/>
  </r>
  <r>
    <d v="2025-07-22T00:00:00"/>
    <s v="SEC007"/>
    <x v="6"/>
    <x v="6"/>
    <x v="2"/>
    <s v="USD"/>
    <x v="3"/>
    <n v="60614.14"/>
    <n v="59833.9"/>
    <n v="-1.29"/>
    <n v="2834386"/>
    <x v="0"/>
    <x v="0"/>
    <x v="0"/>
  </r>
  <r>
    <d v="2025-07-23T00:00:00"/>
    <s v="SEC007"/>
    <x v="6"/>
    <x v="6"/>
    <x v="2"/>
    <s v="USD"/>
    <x v="3"/>
    <n v="59833.9"/>
    <n v="57811.68"/>
    <n v="-3.38"/>
    <n v="3405625"/>
    <x v="0"/>
    <x v="0"/>
    <x v="0"/>
  </r>
  <r>
    <d v="2025-07-24T00:00:00"/>
    <s v="SEC007"/>
    <x v="6"/>
    <x v="6"/>
    <x v="2"/>
    <s v="USD"/>
    <x v="2"/>
    <n v="57811.68"/>
    <n v="59865"/>
    <n v="3.55"/>
    <n v="1617136"/>
    <x v="0"/>
    <x v="0"/>
    <x v="0"/>
  </r>
  <r>
    <d v="2025-07-25T00:00:00"/>
    <s v="SEC007"/>
    <x v="6"/>
    <x v="6"/>
    <x v="2"/>
    <s v="USD"/>
    <x v="2"/>
    <n v="59865"/>
    <n v="60899.83"/>
    <n v="1.73"/>
    <n v="4406001"/>
    <x v="0"/>
    <x v="0"/>
    <x v="0"/>
  </r>
  <r>
    <d v="2025-07-28T00:00:00"/>
    <s v="SEC007"/>
    <x v="6"/>
    <x v="6"/>
    <x v="2"/>
    <s v="USD"/>
    <x v="3"/>
    <n v="60899.83"/>
    <n v="62550.42"/>
    <n v="2.71"/>
    <n v="712087"/>
    <x v="0"/>
    <x v="0"/>
    <x v="0"/>
  </r>
  <r>
    <d v="2025-07-29T00:00:00"/>
    <s v="SEC007"/>
    <x v="6"/>
    <x v="6"/>
    <x v="2"/>
    <s v="USD"/>
    <x v="2"/>
    <n v="62550.42"/>
    <n v="63127.19"/>
    <n v="0.92"/>
    <n v="4625770"/>
    <x v="0"/>
    <x v="0"/>
    <x v="0"/>
  </r>
  <r>
    <d v="2025-07-30T00:00:00"/>
    <s v="SEC007"/>
    <x v="6"/>
    <x v="6"/>
    <x v="2"/>
    <s v="USD"/>
    <x v="3"/>
    <n v="63127.19"/>
    <n v="62111.41"/>
    <n v="-1.61"/>
    <n v="2530007"/>
    <x v="0"/>
    <x v="0"/>
    <x v="0"/>
  </r>
  <r>
    <d v="2025-07-31T00:00:00"/>
    <s v="SEC007"/>
    <x v="6"/>
    <x v="6"/>
    <x v="2"/>
    <s v="USD"/>
    <x v="3"/>
    <n v="62111.41"/>
    <n v="61809.08"/>
    <n v="-0.49"/>
    <n v="1447917"/>
    <x v="0"/>
    <x v="0"/>
    <x v="0"/>
  </r>
  <r>
    <d v="2025-08-01T00:00:00"/>
    <s v="SEC007"/>
    <x v="6"/>
    <x v="6"/>
    <x v="2"/>
    <s v="USD"/>
    <x v="2"/>
    <n v="61809.08"/>
    <n v="61809.08"/>
    <n v="0"/>
    <n v="3007481"/>
    <x v="1"/>
    <x v="1"/>
    <x v="2"/>
  </r>
  <r>
    <d v="2025-08-04T00:00:00"/>
    <s v="SEC007"/>
    <x v="6"/>
    <x v="6"/>
    <x v="2"/>
    <s v="USD"/>
    <x v="2"/>
    <n v="61809.08"/>
    <n v="60554.97"/>
    <n v="-2.0299999999999998"/>
    <n v="531154"/>
    <x v="0"/>
    <x v="0"/>
    <x v="0"/>
  </r>
  <r>
    <d v="2025-08-05T00:00:00"/>
    <s v="SEC007"/>
    <x v="6"/>
    <x v="6"/>
    <x v="2"/>
    <s v="USD"/>
    <x v="0"/>
    <n v="60554.97"/>
    <n v="61487.91"/>
    <n v="1.54"/>
    <n v="4354077"/>
    <x v="0"/>
    <x v="0"/>
    <x v="0"/>
  </r>
  <r>
    <d v="2025-08-06T00:00:00"/>
    <s v="SEC007"/>
    <x v="6"/>
    <x v="6"/>
    <x v="2"/>
    <s v="USD"/>
    <x v="1"/>
    <n v="61487.91"/>
    <n v="63993.61"/>
    <n v="4.08"/>
    <n v="3725660"/>
    <x v="0"/>
    <x v="0"/>
    <x v="0"/>
  </r>
  <r>
    <d v="2025-08-07T00:00:00"/>
    <s v="SEC007"/>
    <x v="6"/>
    <x v="6"/>
    <x v="2"/>
    <s v="USD"/>
    <x v="0"/>
    <n v="63993.61"/>
    <n v="61840.91"/>
    <n v="-3.36"/>
    <n v="3122985"/>
    <x v="0"/>
    <x v="0"/>
    <x v="0"/>
  </r>
  <r>
    <d v="2025-08-08T00:00:00"/>
    <s v="SEC007"/>
    <x v="6"/>
    <x v="6"/>
    <x v="2"/>
    <s v="USD"/>
    <x v="3"/>
    <n v="61840.91"/>
    <n v="61188.91"/>
    <n v="-1.05"/>
    <n v="1337132"/>
    <x v="0"/>
    <x v="0"/>
    <x v="0"/>
  </r>
  <r>
    <d v="2025-08-11T00:00:00"/>
    <s v="SEC007"/>
    <x v="6"/>
    <x v="6"/>
    <x v="2"/>
    <s v="USD"/>
    <x v="2"/>
    <n v="61188.91"/>
    <n v="63660.59"/>
    <n v="4.04"/>
    <n v="694961"/>
    <x v="0"/>
    <x v="0"/>
    <x v="0"/>
  </r>
  <r>
    <d v="2025-08-12T00:00:00"/>
    <s v="SEC007"/>
    <x v="6"/>
    <x v="6"/>
    <x v="2"/>
    <s v="USD"/>
    <x v="1"/>
    <n v="63660.59"/>
    <n v="63829.38"/>
    <n v="0.27"/>
    <n v="2387819"/>
    <x v="0"/>
    <x v="0"/>
    <x v="0"/>
  </r>
  <r>
    <d v="2025-08-13T00:00:00"/>
    <s v="SEC007"/>
    <x v="6"/>
    <x v="6"/>
    <x v="2"/>
    <s v="USD"/>
    <x v="1"/>
    <n v="63829.38"/>
    <n v="58467.71"/>
    <n v="-8.4"/>
    <n v="4236284"/>
    <x v="1"/>
    <x v="1"/>
    <x v="1"/>
  </r>
  <r>
    <d v="2025-08-14T00:00:00"/>
    <s v="SEC007"/>
    <x v="6"/>
    <x v="6"/>
    <x v="2"/>
    <s v="USD"/>
    <x v="2"/>
    <n v="58467.71"/>
    <n v="60643.81"/>
    <n v="3.72"/>
    <n v="2233468"/>
    <x v="0"/>
    <x v="0"/>
    <x v="0"/>
  </r>
  <r>
    <d v="2025-08-15T00:00:00"/>
    <s v="SEC007"/>
    <x v="6"/>
    <x v="6"/>
    <x v="2"/>
    <s v="USD"/>
    <x v="2"/>
    <n v="60643.81"/>
    <n v="59085.95"/>
    <n v="-2.57"/>
    <n v="4170485"/>
    <x v="0"/>
    <x v="0"/>
    <x v="0"/>
  </r>
  <r>
    <d v="2025-08-18T00:00:00"/>
    <s v="SEC007"/>
    <x v="6"/>
    <x v="6"/>
    <x v="2"/>
    <s v="USD"/>
    <x v="1"/>
    <n v="59085.95"/>
    <n v="57079.23"/>
    <n v="-3.4"/>
    <n v="3842008"/>
    <x v="0"/>
    <x v="0"/>
    <x v="0"/>
  </r>
  <r>
    <d v="2025-08-19T00:00:00"/>
    <s v="SEC007"/>
    <x v="6"/>
    <x v="6"/>
    <x v="2"/>
    <s v="USD"/>
    <x v="1"/>
    <n v="57079.23"/>
    <n v="59127.3"/>
    <n v="3.59"/>
    <n v="786442"/>
    <x v="0"/>
    <x v="0"/>
    <x v="0"/>
  </r>
  <r>
    <d v="2025-08-20T00:00:00"/>
    <s v="SEC007"/>
    <x v="6"/>
    <x v="6"/>
    <x v="2"/>
    <s v="USD"/>
    <x v="3"/>
    <n v="59127.3"/>
    <n v="60020.45"/>
    <n v="1.51"/>
    <n v="4663710"/>
    <x v="0"/>
    <x v="0"/>
    <x v="0"/>
  </r>
  <r>
    <d v="2025-08-21T00:00:00"/>
    <s v="SEC007"/>
    <x v="6"/>
    <x v="6"/>
    <x v="2"/>
    <s v="USD"/>
    <x v="3"/>
    <n v="60020.45"/>
    <n v="62134.36"/>
    <n v="3.52"/>
    <n v="1510381"/>
    <x v="0"/>
    <x v="0"/>
    <x v="0"/>
  </r>
  <r>
    <d v="2025-08-22T00:00:00"/>
    <s v="SEC007"/>
    <x v="6"/>
    <x v="6"/>
    <x v="2"/>
    <s v="USD"/>
    <x v="3"/>
    <n v="62134.36"/>
    <n v="62183.33"/>
    <n v="0.08"/>
    <n v="1735945"/>
    <x v="0"/>
    <x v="0"/>
    <x v="0"/>
  </r>
  <r>
    <d v="2025-08-25T00:00:00"/>
    <s v="SEC007"/>
    <x v="6"/>
    <x v="6"/>
    <x v="2"/>
    <s v="USD"/>
    <x v="1"/>
    <n v="62183.33"/>
    <n v="60709.97"/>
    <n v="-2.37"/>
    <n v="3077419"/>
    <x v="0"/>
    <x v="0"/>
    <x v="0"/>
  </r>
  <r>
    <d v="2025-08-26T00:00:00"/>
    <s v="SEC007"/>
    <x v="6"/>
    <x v="6"/>
    <x v="2"/>
    <s v="USD"/>
    <x v="3"/>
    <n v="60709.97"/>
    <n v="60531.88"/>
    <n v="-0.28999999999999998"/>
    <n v="1138599"/>
    <x v="0"/>
    <x v="0"/>
    <x v="0"/>
  </r>
  <r>
    <d v="2025-08-27T00:00:00"/>
    <s v="SEC007"/>
    <x v="6"/>
    <x v="6"/>
    <x v="2"/>
    <s v="USD"/>
    <x v="0"/>
    <n v="60531.88"/>
    <n v="58166.13"/>
    <n v="-3.91"/>
    <n v="4065333"/>
    <x v="0"/>
    <x v="0"/>
    <x v="0"/>
  </r>
  <r>
    <d v="2025-08-28T00:00:00"/>
    <s v="SEC007"/>
    <x v="6"/>
    <x v="6"/>
    <x v="2"/>
    <s v="USD"/>
    <x v="2"/>
    <n v="58166.13"/>
    <n v="59575.199999999997"/>
    <n v="2.42"/>
    <n v="668665"/>
    <x v="0"/>
    <x v="0"/>
    <x v="0"/>
  </r>
  <r>
    <d v="2025-08-29T00:00:00"/>
    <s v="SEC007"/>
    <x v="6"/>
    <x v="6"/>
    <x v="2"/>
    <s v="USD"/>
    <x v="1"/>
    <n v="59575.199999999997"/>
    <n v="62107.99"/>
    <n v="4.25"/>
    <n v="3824659"/>
    <x v="0"/>
    <x v="0"/>
    <x v="0"/>
  </r>
  <r>
    <d v="2025-09-01T00:00:00"/>
    <s v="SEC007"/>
    <x v="6"/>
    <x v="6"/>
    <x v="2"/>
    <s v="USD"/>
    <x v="2"/>
    <n v="62107.99"/>
    <n v="63114.75"/>
    <n v="1.62"/>
    <n v="4674668"/>
    <x v="0"/>
    <x v="0"/>
    <x v="0"/>
  </r>
  <r>
    <d v="2025-09-02T00:00:00"/>
    <s v="SEC007"/>
    <x v="6"/>
    <x v="6"/>
    <x v="2"/>
    <s v="USD"/>
    <x v="1"/>
    <n v="63114.75"/>
    <n v="64635.83"/>
    <n v="2.41"/>
    <n v="4268327"/>
    <x v="0"/>
    <x v="0"/>
    <x v="0"/>
  </r>
  <r>
    <d v="2025-09-03T00:00:00"/>
    <s v="SEC007"/>
    <x v="6"/>
    <x v="6"/>
    <x v="2"/>
    <s v="USD"/>
    <x v="0"/>
    <n v="64635.83"/>
    <n v="66563.61"/>
    <n v="2.98"/>
    <n v="2601181"/>
    <x v="0"/>
    <x v="0"/>
    <x v="0"/>
  </r>
  <r>
    <d v="2025-09-04T00:00:00"/>
    <s v="SEC007"/>
    <x v="6"/>
    <x v="6"/>
    <x v="2"/>
    <s v="USD"/>
    <x v="1"/>
    <n v="66563.61"/>
    <n v="64538.54"/>
    <n v="-3.04"/>
    <n v="1941381"/>
    <x v="0"/>
    <x v="0"/>
    <x v="0"/>
  </r>
  <r>
    <d v="2025-09-05T00:00:00"/>
    <s v="SEC007"/>
    <x v="6"/>
    <x v="6"/>
    <x v="2"/>
    <s v="USD"/>
    <x v="3"/>
    <n v="64538.54"/>
    <n v="67137.740000000005"/>
    <n v="4.03"/>
    <n v="2432769"/>
    <x v="0"/>
    <x v="0"/>
    <x v="0"/>
  </r>
  <r>
    <d v="2025-09-08T00:00:00"/>
    <s v="SEC007"/>
    <x v="6"/>
    <x v="6"/>
    <x v="2"/>
    <s v="USD"/>
    <x v="0"/>
    <n v="67137.740000000005"/>
    <n v="65630.8"/>
    <n v="-2.2400000000000002"/>
    <n v="4670792"/>
    <x v="0"/>
    <x v="0"/>
    <x v="0"/>
  </r>
  <r>
    <d v="2025-09-09T00:00:00"/>
    <s v="SEC007"/>
    <x v="6"/>
    <x v="6"/>
    <x v="2"/>
    <s v="USD"/>
    <x v="3"/>
    <n v="65630.8"/>
    <n v="63416.76"/>
    <n v="-3.37"/>
    <n v="4525138"/>
    <x v="0"/>
    <x v="0"/>
    <x v="0"/>
  </r>
  <r>
    <d v="2025-09-10T00:00:00"/>
    <s v="SEC007"/>
    <x v="6"/>
    <x v="6"/>
    <x v="2"/>
    <s v="USD"/>
    <x v="0"/>
    <n v="63416.76"/>
    <n v="63431.45"/>
    <n v="0.02"/>
    <n v="4920815"/>
    <x v="0"/>
    <x v="0"/>
    <x v="0"/>
  </r>
  <r>
    <d v="2025-09-11T00:00:00"/>
    <s v="SEC007"/>
    <x v="6"/>
    <x v="6"/>
    <x v="2"/>
    <s v="USD"/>
    <x v="1"/>
    <n v="63431.45"/>
    <n v="61554.39"/>
    <n v="-2.96"/>
    <n v="2882158"/>
    <x v="0"/>
    <x v="0"/>
    <x v="0"/>
  </r>
  <r>
    <d v="2025-09-12T00:00:00"/>
    <s v="SEC007"/>
    <x v="6"/>
    <x v="6"/>
    <x v="2"/>
    <s v="USD"/>
    <x v="0"/>
    <n v="61554.39"/>
    <n v="66355.63"/>
    <n v="7.8"/>
    <n v="4888307"/>
    <x v="1"/>
    <x v="1"/>
    <x v="1"/>
  </r>
  <r>
    <d v="2025-09-15T00:00:00"/>
    <s v="SEC007"/>
    <x v="6"/>
    <x v="6"/>
    <x v="2"/>
    <s v="USD"/>
    <x v="3"/>
    <n v="66355.63"/>
    <n v="67258.179999999993"/>
    <n v="1.36"/>
    <n v="3544583"/>
    <x v="0"/>
    <x v="0"/>
    <x v="0"/>
  </r>
  <r>
    <d v="2025-09-16T00:00:00"/>
    <s v="SEC007"/>
    <x v="6"/>
    <x v="6"/>
    <x v="2"/>
    <s v="USD"/>
    <x v="0"/>
    <n v="67258.179999999993"/>
    <n v="67246.3"/>
    <n v="-0.02"/>
    <n v="2479941"/>
    <x v="0"/>
    <x v="0"/>
    <x v="0"/>
  </r>
  <r>
    <d v="2025-09-17T00:00:00"/>
    <s v="SEC007"/>
    <x v="6"/>
    <x v="6"/>
    <x v="2"/>
    <s v="USD"/>
    <x v="3"/>
    <n v="67246.3"/>
    <n v="67143.08"/>
    <n v="-0.15"/>
    <n v="3456551"/>
    <x v="0"/>
    <x v="0"/>
    <x v="0"/>
  </r>
  <r>
    <d v="2025-09-18T00:00:00"/>
    <s v="SEC007"/>
    <x v="6"/>
    <x v="6"/>
    <x v="2"/>
    <s v="USD"/>
    <x v="3"/>
    <n v="67143.08"/>
    <n v="66862.36"/>
    <n v="-0.42"/>
    <n v="1376074"/>
    <x v="0"/>
    <x v="0"/>
    <x v="0"/>
  </r>
  <r>
    <d v="2025-09-19T00:00:00"/>
    <s v="SEC007"/>
    <x v="6"/>
    <x v="6"/>
    <x v="2"/>
    <s v="USD"/>
    <x v="2"/>
    <n v="66862.36"/>
    <n v="66354.600000000006"/>
    <n v="-0.76"/>
    <n v="2903742"/>
    <x v="0"/>
    <x v="0"/>
    <x v="0"/>
  </r>
  <r>
    <d v="2025-09-22T00:00:00"/>
    <s v="SEC007"/>
    <x v="6"/>
    <x v="6"/>
    <x v="2"/>
    <s v="USD"/>
    <x v="1"/>
    <n v="66354.600000000006"/>
    <n v="65235.360000000001"/>
    <n v="-1.69"/>
    <n v="2947178"/>
    <x v="0"/>
    <x v="0"/>
    <x v="0"/>
  </r>
  <r>
    <d v="2025-07-01T00:00:00"/>
    <s v="SEC008"/>
    <x v="7"/>
    <x v="7"/>
    <x v="3"/>
    <s v="USD"/>
    <x v="2"/>
    <n v="72"/>
    <n v="71.36"/>
    <n v="-0.89"/>
    <n v="4761471"/>
    <x v="0"/>
    <x v="0"/>
    <x v="0"/>
  </r>
  <r>
    <d v="2025-07-02T00:00:00"/>
    <s v="SEC008"/>
    <x v="7"/>
    <x v="7"/>
    <x v="3"/>
    <s v="USD"/>
    <x v="0"/>
    <n v="71.36"/>
    <n v="71.05"/>
    <n v="-0.43"/>
    <n v="2293715"/>
    <x v="0"/>
    <x v="0"/>
    <x v="0"/>
  </r>
  <r>
    <d v="2025-07-03T00:00:00"/>
    <s v="SEC008"/>
    <x v="7"/>
    <x v="7"/>
    <x v="3"/>
    <s v="USD"/>
    <x v="2"/>
    <n v="71.05"/>
    <n v="70.62"/>
    <n v="-0.6"/>
    <n v="2484474"/>
    <x v="0"/>
    <x v="0"/>
    <x v="0"/>
  </r>
  <r>
    <d v="2025-07-04T00:00:00"/>
    <s v="SEC008"/>
    <x v="7"/>
    <x v="7"/>
    <x v="3"/>
    <s v="USD"/>
    <x v="2"/>
    <n v="70.62"/>
    <n v="71.239999999999995"/>
    <n v="0.87"/>
    <n v="1389657"/>
    <x v="0"/>
    <x v="0"/>
    <x v="0"/>
  </r>
  <r>
    <d v="2025-07-07T00:00:00"/>
    <s v="SEC008"/>
    <x v="7"/>
    <x v="7"/>
    <x v="3"/>
    <s v="USD"/>
    <x v="3"/>
    <n v="71.239999999999995"/>
    <n v="71.98"/>
    <n v="1.04"/>
    <n v="1642443"/>
    <x v="0"/>
    <x v="0"/>
    <x v="0"/>
  </r>
  <r>
    <d v="2025-07-08T00:00:00"/>
    <s v="SEC008"/>
    <x v="7"/>
    <x v="7"/>
    <x v="3"/>
    <s v="USD"/>
    <x v="1"/>
    <n v="71.98"/>
    <n v="71.98"/>
    <n v="0"/>
    <n v="4233899"/>
    <x v="0"/>
    <x v="0"/>
    <x v="0"/>
  </r>
  <r>
    <d v="2025-07-09T00:00:00"/>
    <s v="SEC008"/>
    <x v="7"/>
    <x v="7"/>
    <x v="3"/>
    <s v="USD"/>
    <x v="3"/>
    <n v="71.98"/>
    <n v="71.97"/>
    <n v="-0.01"/>
    <n v="3348754"/>
    <x v="0"/>
    <x v="0"/>
    <x v="0"/>
  </r>
  <r>
    <d v="2025-07-10T00:00:00"/>
    <s v="SEC008"/>
    <x v="7"/>
    <x v="7"/>
    <x v="3"/>
    <s v="USD"/>
    <x v="2"/>
    <n v="71.97"/>
    <n v="72.78"/>
    <n v="1.1200000000000001"/>
    <n v="3010298"/>
    <x v="0"/>
    <x v="0"/>
    <x v="0"/>
  </r>
  <r>
    <d v="2025-07-11T00:00:00"/>
    <s v="SEC008"/>
    <x v="7"/>
    <x v="7"/>
    <x v="3"/>
    <s v="USD"/>
    <x v="0"/>
    <n v="72.78"/>
    <n v="71.989999999999995"/>
    <n v="-1.08"/>
    <n v="3997568"/>
    <x v="0"/>
    <x v="0"/>
    <x v="0"/>
  </r>
  <r>
    <d v="2025-07-14T00:00:00"/>
    <s v="SEC008"/>
    <x v="7"/>
    <x v="7"/>
    <x v="3"/>
    <s v="USD"/>
    <x v="3"/>
    <n v="71.989999999999995"/>
    <n v="72.06"/>
    <n v="0.09"/>
    <n v="3664884"/>
    <x v="0"/>
    <x v="0"/>
    <x v="0"/>
  </r>
  <r>
    <d v="2025-07-15T00:00:00"/>
    <s v="SEC008"/>
    <x v="7"/>
    <x v="7"/>
    <x v="3"/>
    <s v="USD"/>
    <x v="1"/>
    <n v="72.06"/>
    <n v="72.72"/>
    <n v="0.92"/>
    <n v="3432740"/>
    <x v="0"/>
    <x v="0"/>
    <x v="0"/>
  </r>
  <r>
    <d v="2025-07-16T00:00:00"/>
    <s v="SEC008"/>
    <x v="7"/>
    <x v="7"/>
    <x v="3"/>
    <s v="USD"/>
    <x v="3"/>
    <n v="72.72"/>
    <n v="71.930000000000007"/>
    <n v="-1.0900000000000001"/>
    <n v="4762861"/>
    <x v="0"/>
    <x v="0"/>
    <x v="0"/>
  </r>
  <r>
    <d v="2025-07-17T00:00:00"/>
    <s v="SEC008"/>
    <x v="7"/>
    <x v="7"/>
    <x v="3"/>
    <s v="USD"/>
    <x v="1"/>
    <n v="71.930000000000007"/>
    <n v="71.69"/>
    <n v="-0.33"/>
    <n v="3290928"/>
    <x v="0"/>
    <x v="0"/>
    <x v="0"/>
  </r>
  <r>
    <d v="2025-07-18T00:00:00"/>
    <s v="SEC008"/>
    <x v="7"/>
    <x v="7"/>
    <x v="3"/>
    <s v="USD"/>
    <x v="2"/>
    <n v="71.69"/>
    <n v="72.14"/>
    <n v="0.63"/>
    <n v="1046659"/>
    <x v="0"/>
    <x v="0"/>
    <x v="0"/>
  </r>
  <r>
    <d v="2025-07-21T00:00:00"/>
    <s v="SEC008"/>
    <x v="7"/>
    <x v="7"/>
    <x v="3"/>
    <s v="USD"/>
    <x v="1"/>
    <n v="72.14"/>
    <n v="72.97"/>
    <n v="1.1399999999999999"/>
    <n v="2894453"/>
    <x v="0"/>
    <x v="0"/>
    <x v="0"/>
  </r>
  <r>
    <d v="2025-07-22T00:00:00"/>
    <s v="SEC008"/>
    <x v="7"/>
    <x v="7"/>
    <x v="3"/>
    <s v="USD"/>
    <x v="3"/>
    <n v="72.97"/>
    <n v="73.41"/>
    <n v="0.61"/>
    <n v="4320829"/>
    <x v="0"/>
    <x v="0"/>
    <x v="0"/>
  </r>
  <r>
    <d v="2025-07-23T00:00:00"/>
    <s v="SEC008"/>
    <x v="7"/>
    <x v="7"/>
    <x v="3"/>
    <s v="USD"/>
    <x v="2"/>
    <n v="73.41"/>
    <n v="73.41"/>
    <n v="0"/>
    <n v="1199544"/>
    <x v="1"/>
    <x v="1"/>
    <x v="2"/>
  </r>
  <r>
    <d v="2025-07-24T00:00:00"/>
    <s v="SEC008"/>
    <x v="7"/>
    <x v="7"/>
    <x v="3"/>
    <s v="USD"/>
    <x v="3"/>
    <n v="73.41"/>
    <n v="73.95"/>
    <n v="0.73"/>
    <n v="1299404"/>
    <x v="0"/>
    <x v="0"/>
    <x v="0"/>
  </r>
  <r>
    <d v="2025-07-25T00:00:00"/>
    <s v="SEC008"/>
    <x v="7"/>
    <x v="7"/>
    <x v="3"/>
    <s v="USD"/>
    <x v="1"/>
    <n v="73.95"/>
    <n v="73.64"/>
    <n v="-0.41"/>
    <n v="1413165"/>
    <x v="0"/>
    <x v="0"/>
    <x v="0"/>
  </r>
  <r>
    <d v="2025-07-28T00:00:00"/>
    <s v="SEC008"/>
    <x v="7"/>
    <x v="7"/>
    <x v="3"/>
    <s v="USD"/>
    <x v="2"/>
    <n v="73.64"/>
    <n v="74.510000000000005"/>
    <n v="1.18"/>
    <n v="2560159"/>
    <x v="0"/>
    <x v="0"/>
    <x v="0"/>
  </r>
  <r>
    <d v="2025-07-29T00:00:00"/>
    <s v="SEC008"/>
    <x v="7"/>
    <x v="7"/>
    <x v="3"/>
    <s v="USD"/>
    <x v="3"/>
    <n v="74.510000000000005"/>
    <n v="74.52"/>
    <n v="0.02"/>
    <n v="4159131"/>
    <x v="0"/>
    <x v="0"/>
    <x v="0"/>
  </r>
  <r>
    <d v="2025-07-30T00:00:00"/>
    <s v="SEC008"/>
    <x v="7"/>
    <x v="7"/>
    <x v="3"/>
    <s v="USD"/>
    <x v="3"/>
    <n v="74.52"/>
    <n v="82.12"/>
    <n v="10.199999999999999"/>
    <n v="969429"/>
    <x v="1"/>
    <x v="1"/>
    <x v="1"/>
  </r>
  <r>
    <d v="2025-07-31T00:00:00"/>
    <s v="SEC008"/>
    <x v="7"/>
    <x v="7"/>
    <x v="3"/>
    <s v="USD"/>
    <x v="2"/>
    <n v="82.12"/>
    <n v="82.29"/>
    <n v="0.2"/>
    <n v="273532"/>
    <x v="0"/>
    <x v="0"/>
    <x v="0"/>
  </r>
  <r>
    <d v="2025-08-01T00:00:00"/>
    <s v="SEC008"/>
    <x v="7"/>
    <x v="7"/>
    <x v="3"/>
    <s v="USD"/>
    <x v="2"/>
    <n v="82.29"/>
    <n v="81.83"/>
    <n v="-0.56000000000000005"/>
    <n v="4902594"/>
    <x v="0"/>
    <x v="0"/>
    <x v="0"/>
  </r>
  <r>
    <d v="2025-08-04T00:00:00"/>
    <s v="SEC008"/>
    <x v="7"/>
    <x v="7"/>
    <x v="3"/>
    <s v="USD"/>
    <x v="1"/>
    <n v="81.83"/>
    <n v="82.26"/>
    <n v="0.53"/>
    <n v="1480358"/>
    <x v="0"/>
    <x v="0"/>
    <x v="0"/>
  </r>
  <r>
    <d v="2025-08-05T00:00:00"/>
    <s v="SEC008"/>
    <x v="7"/>
    <x v="7"/>
    <x v="3"/>
    <s v="USD"/>
    <x v="2"/>
    <n v="82.26"/>
    <n v="81.569999999999993"/>
    <n v="-0.85"/>
    <n v="314832"/>
    <x v="0"/>
    <x v="0"/>
    <x v="0"/>
  </r>
  <r>
    <d v="2025-08-06T00:00:00"/>
    <s v="SEC008"/>
    <x v="7"/>
    <x v="7"/>
    <x v="3"/>
    <s v="USD"/>
    <x v="0"/>
    <n v="81.569999999999993"/>
    <n v="80.959999999999994"/>
    <n v="-0.74"/>
    <n v="3562983"/>
    <x v="0"/>
    <x v="0"/>
    <x v="0"/>
  </r>
  <r>
    <d v="2025-08-07T00:00:00"/>
    <s v="SEC008"/>
    <x v="7"/>
    <x v="7"/>
    <x v="3"/>
    <s v="USD"/>
    <x v="1"/>
    <n v="80.959999999999994"/>
    <n v="80.790000000000006"/>
    <n v="-0.21"/>
    <n v="4259567"/>
    <x v="0"/>
    <x v="0"/>
    <x v="0"/>
  </r>
  <r>
    <d v="2025-08-08T00:00:00"/>
    <s v="SEC008"/>
    <x v="7"/>
    <x v="7"/>
    <x v="3"/>
    <s v="USD"/>
    <x v="2"/>
    <n v="80.790000000000006"/>
    <n v="81.510000000000005"/>
    <n v="0.89"/>
    <n v="572453"/>
    <x v="0"/>
    <x v="0"/>
    <x v="0"/>
  </r>
  <r>
    <d v="2025-08-11T00:00:00"/>
    <s v="SEC008"/>
    <x v="7"/>
    <x v="7"/>
    <x v="3"/>
    <s v="USD"/>
    <x v="1"/>
    <n v="81.510000000000005"/>
    <n v="81.55"/>
    <n v="0.04"/>
    <n v="4062866"/>
    <x v="0"/>
    <x v="0"/>
    <x v="0"/>
  </r>
  <r>
    <d v="2025-08-12T00:00:00"/>
    <s v="SEC008"/>
    <x v="7"/>
    <x v="7"/>
    <x v="3"/>
    <s v="USD"/>
    <x v="2"/>
    <n v="81.55"/>
    <n v="81.19"/>
    <n v="-0.45"/>
    <n v="4522193"/>
    <x v="0"/>
    <x v="0"/>
    <x v="0"/>
  </r>
  <r>
    <d v="2025-08-13T00:00:00"/>
    <s v="SEC008"/>
    <x v="7"/>
    <x v="7"/>
    <x v="3"/>
    <s v="USD"/>
    <x v="3"/>
    <n v="81.19"/>
    <n v="81.28"/>
    <n v="0.11"/>
    <n v="2267630"/>
    <x v="0"/>
    <x v="0"/>
    <x v="0"/>
  </r>
  <r>
    <d v="2025-08-14T00:00:00"/>
    <s v="SEC008"/>
    <x v="7"/>
    <x v="7"/>
    <x v="3"/>
    <s v="USD"/>
    <x v="2"/>
    <n v="81.28"/>
    <n v="80.680000000000007"/>
    <n v="-0.74"/>
    <n v="4731570"/>
    <x v="0"/>
    <x v="0"/>
    <x v="0"/>
  </r>
  <r>
    <d v="2025-08-15T00:00:00"/>
    <s v="SEC008"/>
    <x v="7"/>
    <x v="7"/>
    <x v="3"/>
    <s v="USD"/>
    <x v="3"/>
    <n v="80.680000000000007"/>
    <n v="80.14"/>
    <n v="-0.66"/>
    <n v="2546571"/>
    <x v="0"/>
    <x v="0"/>
    <x v="0"/>
  </r>
  <r>
    <d v="2025-08-18T00:00:00"/>
    <s v="SEC008"/>
    <x v="7"/>
    <x v="7"/>
    <x v="3"/>
    <s v="USD"/>
    <x v="3"/>
    <n v="80.14"/>
    <n v="80.540000000000006"/>
    <n v="0.49"/>
    <n v="4152055"/>
    <x v="0"/>
    <x v="0"/>
    <x v="0"/>
  </r>
  <r>
    <d v="2025-08-19T00:00:00"/>
    <s v="SEC008"/>
    <x v="7"/>
    <x v="7"/>
    <x v="3"/>
    <s v="USD"/>
    <x v="3"/>
    <n v="80.540000000000006"/>
    <n v="80.5"/>
    <n v="-0.05"/>
    <n v="2343928"/>
    <x v="0"/>
    <x v="0"/>
    <x v="0"/>
  </r>
  <r>
    <d v="2025-08-20T00:00:00"/>
    <s v="SEC008"/>
    <x v="7"/>
    <x v="7"/>
    <x v="3"/>
    <s v="USD"/>
    <x v="3"/>
    <n v="80.5"/>
    <n v="79.77"/>
    <n v="-0.91"/>
    <n v="3235105"/>
    <x v="0"/>
    <x v="0"/>
    <x v="0"/>
  </r>
  <r>
    <d v="2025-08-21T00:00:00"/>
    <s v="SEC008"/>
    <x v="7"/>
    <x v="7"/>
    <x v="3"/>
    <s v="USD"/>
    <x v="2"/>
    <n v="79.77"/>
    <n v="80.38"/>
    <n v="0.76"/>
    <n v="1278730"/>
    <x v="0"/>
    <x v="0"/>
    <x v="0"/>
  </r>
  <r>
    <d v="2025-08-22T00:00:00"/>
    <s v="SEC008"/>
    <x v="7"/>
    <x v="7"/>
    <x v="3"/>
    <s v="USD"/>
    <x v="3"/>
    <n v="80.38"/>
    <n v="79.489999999999995"/>
    <n v="-1.1000000000000001"/>
    <n v="712946"/>
    <x v="0"/>
    <x v="0"/>
    <x v="0"/>
  </r>
  <r>
    <d v="2025-08-25T00:00:00"/>
    <s v="SEC008"/>
    <x v="7"/>
    <x v="7"/>
    <x v="3"/>
    <s v="USD"/>
    <x v="3"/>
    <n v="79.489999999999995"/>
    <n v="80.3"/>
    <n v="1.02"/>
    <n v="4068808"/>
    <x v="0"/>
    <x v="0"/>
    <x v="0"/>
  </r>
  <r>
    <d v="2025-08-26T00:00:00"/>
    <s v="SEC008"/>
    <x v="7"/>
    <x v="7"/>
    <x v="3"/>
    <s v="USD"/>
    <x v="1"/>
    <n v="80.3"/>
    <n v="79.73"/>
    <n v="-0.72"/>
    <n v="4764548"/>
    <x v="0"/>
    <x v="0"/>
    <x v="0"/>
  </r>
  <r>
    <d v="2025-08-27T00:00:00"/>
    <s v="SEC008"/>
    <x v="7"/>
    <x v="7"/>
    <x v="3"/>
    <s v="USD"/>
    <x v="3"/>
    <n v="79.73"/>
    <n v="79.03"/>
    <n v="-0.87"/>
    <n v="4972691"/>
    <x v="0"/>
    <x v="0"/>
    <x v="0"/>
  </r>
  <r>
    <d v="2025-08-28T00:00:00"/>
    <s v="SEC008"/>
    <x v="7"/>
    <x v="7"/>
    <x v="3"/>
    <s v="USD"/>
    <x v="1"/>
    <n v="79.03"/>
    <n v="78.55"/>
    <n v="-0.62"/>
    <n v="4504698"/>
    <x v="0"/>
    <x v="0"/>
    <x v="0"/>
  </r>
  <r>
    <d v="2025-08-29T00:00:00"/>
    <s v="SEC008"/>
    <x v="7"/>
    <x v="7"/>
    <x v="3"/>
    <s v="USD"/>
    <x v="1"/>
    <n v="78.55"/>
    <n v="78.81"/>
    <n v="0.33"/>
    <n v="3517023"/>
    <x v="0"/>
    <x v="0"/>
    <x v="0"/>
  </r>
  <r>
    <d v="2025-09-01T00:00:00"/>
    <s v="SEC008"/>
    <x v="7"/>
    <x v="7"/>
    <x v="3"/>
    <s v="USD"/>
    <x v="3"/>
    <n v="78.81"/>
    <n v="79.22"/>
    <n v="0.52"/>
    <n v="1203157"/>
    <x v="0"/>
    <x v="0"/>
    <x v="0"/>
  </r>
  <r>
    <d v="2025-09-02T00:00:00"/>
    <s v="SEC008"/>
    <x v="7"/>
    <x v="7"/>
    <x v="3"/>
    <s v="USD"/>
    <x v="0"/>
    <n v="79.22"/>
    <n v="80.099999999999994"/>
    <n v="1.1100000000000001"/>
    <n v="1374905"/>
    <x v="0"/>
    <x v="0"/>
    <x v="0"/>
  </r>
  <r>
    <d v="2025-09-03T00:00:00"/>
    <s v="SEC008"/>
    <x v="7"/>
    <x v="7"/>
    <x v="3"/>
    <s v="USD"/>
    <x v="2"/>
    <n v="80.099999999999994"/>
    <n v="80.39"/>
    <n v="0.37"/>
    <n v="4040457"/>
    <x v="0"/>
    <x v="0"/>
    <x v="0"/>
  </r>
  <r>
    <d v="2025-09-04T00:00:00"/>
    <s v="SEC008"/>
    <x v="7"/>
    <x v="7"/>
    <x v="3"/>
    <s v="USD"/>
    <x v="2"/>
    <n v="80.39"/>
    <n v="80.680000000000007"/>
    <n v="0.36"/>
    <n v="2459586"/>
    <x v="0"/>
    <x v="0"/>
    <x v="0"/>
  </r>
  <r>
    <d v="2025-09-05T00:00:00"/>
    <s v="SEC008"/>
    <x v="7"/>
    <x v="7"/>
    <x v="3"/>
    <s v="USD"/>
    <x v="3"/>
    <n v="80.680000000000007"/>
    <n v="80.27"/>
    <n v="-0.52"/>
    <n v="800450"/>
    <x v="0"/>
    <x v="0"/>
    <x v="0"/>
  </r>
  <r>
    <d v="2025-09-08T00:00:00"/>
    <s v="SEC008"/>
    <x v="7"/>
    <x v="7"/>
    <x v="3"/>
    <s v="USD"/>
    <x v="1"/>
    <n v="80.27"/>
    <n v="80.34"/>
    <n v="0.08"/>
    <n v="362880"/>
    <x v="0"/>
    <x v="0"/>
    <x v="0"/>
  </r>
  <r>
    <d v="2025-09-09T00:00:00"/>
    <s v="SEC008"/>
    <x v="7"/>
    <x v="7"/>
    <x v="3"/>
    <s v="USD"/>
    <x v="1"/>
    <n v="80.34"/>
    <n v="80.180000000000007"/>
    <n v="-0.2"/>
    <n v="354840"/>
    <x v="0"/>
    <x v="0"/>
    <x v="0"/>
  </r>
  <r>
    <d v="2025-09-10T00:00:00"/>
    <s v="SEC008"/>
    <x v="7"/>
    <x v="7"/>
    <x v="3"/>
    <s v="USD"/>
    <x v="2"/>
    <n v="80.180000000000007"/>
    <n v="80.73"/>
    <n v="0.69"/>
    <n v="2478224"/>
    <x v="0"/>
    <x v="0"/>
    <x v="0"/>
  </r>
  <r>
    <d v="2025-09-11T00:00:00"/>
    <s v="SEC008"/>
    <x v="7"/>
    <x v="7"/>
    <x v="3"/>
    <s v="USD"/>
    <x v="0"/>
    <n v="80.73"/>
    <n v="79.78"/>
    <n v="-1.18"/>
    <n v="950103"/>
    <x v="0"/>
    <x v="0"/>
    <x v="0"/>
  </r>
  <r>
    <d v="2025-09-12T00:00:00"/>
    <s v="SEC008"/>
    <x v="7"/>
    <x v="7"/>
    <x v="3"/>
    <s v="USD"/>
    <x v="3"/>
    <n v="79.78"/>
    <n v="79.37"/>
    <n v="-0.52"/>
    <n v="4607534"/>
    <x v="0"/>
    <x v="0"/>
    <x v="0"/>
  </r>
  <r>
    <d v="2025-09-15T00:00:00"/>
    <s v="SEC008"/>
    <x v="7"/>
    <x v="7"/>
    <x v="3"/>
    <s v="USD"/>
    <x v="2"/>
    <n v="79.37"/>
    <n v="80.11"/>
    <n v="0.93"/>
    <n v="4279642"/>
    <x v="0"/>
    <x v="0"/>
    <x v="0"/>
  </r>
  <r>
    <d v="2025-09-16T00:00:00"/>
    <s v="SEC008"/>
    <x v="7"/>
    <x v="7"/>
    <x v="3"/>
    <s v="USD"/>
    <x v="2"/>
    <n v="80.11"/>
    <n v="79.67"/>
    <n v="-0.55000000000000004"/>
    <n v="2823979"/>
    <x v="0"/>
    <x v="0"/>
    <x v="0"/>
  </r>
  <r>
    <d v="2025-09-17T00:00:00"/>
    <s v="SEC008"/>
    <x v="7"/>
    <x v="7"/>
    <x v="3"/>
    <s v="USD"/>
    <x v="1"/>
    <n v="79.67"/>
    <n v="80.12"/>
    <n v="0.55000000000000004"/>
    <n v="1611951"/>
    <x v="0"/>
    <x v="0"/>
    <x v="0"/>
  </r>
  <r>
    <d v="2025-09-18T00:00:00"/>
    <s v="SEC008"/>
    <x v="7"/>
    <x v="7"/>
    <x v="3"/>
    <s v="USD"/>
    <x v="0"/>
    <n v="80.12"/>
    <n v="80.569999999999993"/>
    <n v="0.56999999999999995"/>
    <n v="4812894"/>
    <x v="0"/>
    <x v="0"/>
    <x v="0"/>
  </r>
  <r>
    <d v="2025-09-19T00:00:00"/>
    <s v="SEC008"/>
    <x v="7"/>
    <x v="7"/>
    <x v="3"/>
    <s v="USD"/>
    <x v="1"/>
    <n v="80.569999999999993"/>
    <n v="79.94"/>
    <n v="-0.78"/>
    <n v="3451499"/>
    <x v="0"/>
    <x v="0"/>
    <x v="0"/>
  </r>
  <r>
    <d v="2025-09-22T00:00:00"/>
    <s v="SEC008"/>
    <x v="7"/>
    <x v="7"/>
    <x v="3"/>
    <s v="USD"/>
    <x v="2"/>
    <n v="79.94"/>
    <n v="79.97"/>
    <n v="0.04"/>
    <n v="850148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DAB93-80C1-457F-8C95-28E1223FD462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1:N26" firstHeaderRow="1" firstDataRow="1" firstDataCol="1"/>
  <pivotFields count="14">
    <pivotField numFmtId="14" showAll="0"/>
    <pivotField showAll="0"/>
    <pivotField axis="axisRow" showAll="0">
      <items count="9">
        <item x="0"/>
        <item x="7"/>
        <item x="6"/>
        <item x="2"/>
        <item x="1"/>
        <item x="5"/>
        <item x="4"/>
        <item x="3"/>
        <item t="default"/>
      </items>
    </pivotField>
    <pivotField axis="axisRow" showAll="0">
      <items count="9">
        <item x="0"/>
        <item x="6"/>
        <item x="5"/>
        <item x="2"/>
        <item x="1"/>
        <item x="4"/>
        <item x="3"/>
        <item x="7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2"/>
    <field x="3"/>
    <field x="4"/>
  </rowFields>
  <rowItems count="25">
    <i>
      <x/>
    </i>
    <i r="1">
      <x/>
    </i>
    <i r="2">
      <x v="1"/>
    </i>
    <i>
      <x v="1"/>
    </i>
    <i r="1">
      <x v="7"/>
    </i>
    <i r="2">
      <x v="3"/>
    </i>
    <i>
      <x v="2"/>
    </i>
    <i r="1">
      <x v="1"/>
    </i>
    <i r="2">
      <x/>
    </i>
    <i>
      <x v="3"/>
    </i>
    <i r="1">
      <x v="3"/>
    </i>
    <i r="2">
      <x v="1"/>
    </i>
    <i>
      <x v="4"/>
    </i>
    <i r="1">
      <x v="4"/>
    </i>
    <i r="2">
      <x v="1"/>
    </i>
    <i>
      <x v="5"/>
    </i>
    <i r="1">
      <x v="2"/>
    </i>
    <i r="2">
      <x v="2"/>
    </i>
    <i>
      <x v="6"/>
    </i>
    <i r="1">
      <x v="5"/>
    </i>
    <i r="2">
      <x v="2"/>
    </i>
    <i>
      <x v="7"/>
    </i>
    <i r="1">
      <x v="6"/>
    </i>
    <i r="2">
      <x v="1"/>
    </i>
    <i t="grand">
      <x/>
    </i>
  </rowItems>
  <colItems count="1">
    <i/>
  </colItems>
  <dataFields count="1">
    <dataField name="Max of daily_change_pct" fld="9" subtotal="max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4B2C9-B070-458F-AF6F-CBBF58660F29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8" firstHeaderRow="1" firstDataRow="1" firstDataCol="1" rowPageCount="1" colPageCount="1"/>
  <pivotFields count="14"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 item="1" hier="-1"/>
  </pageFields>
  <dataFields count="1">
    <dataField name="Count of exception_flag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41856-8B27-4996-9E41-4DA19624FD4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8" firstHeaderRow="1" firstDataRow="1" firstDataCol="1" rowPageCount="1" colPageCount="1"/>
  <pivotFields count="14">
    <pivotField numFmtId="14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 item="1" hier="-1"/>
  </pageFields>
  <dataFields count="1">
    <dataField name="Count of exception_flag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45992-F7E3-4713-AB81-A4A930211F02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E5" firstHeaderRow="1" firstDataRow="1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h="1" x="0"/>
        <item x="2"/>
        <item t="default"/>
      </items>
    </pivotField>
  </pivotFields>
  <rowFields count="1">
    <field x="13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exception_reason" fld="1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3EF88-3614-4E96-A2AE-722F3D45A061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ricing_status" fld="1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8D6D8-7703-4B1D-B366-83CAFEF5D9E6}" name="PricingData" displayName="PricingData" ref="A1:N481" totalsRowShown="0">
  <autoFilter ref="A1:N481" xr:uid="{6788D6D8-7703-4B1D-B366-83CAFEF5D9E6}"/>
  <tableColumns count="14">
    <tableColumn id="1" xr3:uid="{9424D42E-BF4D-4BE5-AA2E-47B29D4ADADA}" name="pricing_date" dataDxfId="0"/>
    <tableColumn id="2" xr3:uid="{3DC2299E-5CBB-4614-A3C0-1187DC4F1D53}" name="security_id"/>
    <tableColumn id="3" xr3:uid="{4E4EDF98-795C-4EEA-A0C1-C7BF5019DDF4}" name="ticker"/>
    <tableColumn id="4" xr3:uid="{08B291E4-192A-414D-90AE-CEFE51C208C3}" name="security_name"/>
    <tableColumn id="5" xr3:uid="{3A8B10A3-9FC7-4681-86BB-303FF8CD0D83}" name="asset_class"/>
    <tableColumn id="6" xr3:uid="{85ADC0FE-224F-4058-869B-EA1BCC167F4C}" name="currency"/>
    <tableColumn id="7" xr3:uid="{03E1C2B9-9052-4522-8B22-3B12D37CCD02}" name="pricing_vendor"/>
    <tableColumn id="8" xr3:uid="{034E51D7-85DF-4199-888F-C2AC3E173766}" name="previous_close"/>
    <tableColumn id="9" xr3:uid="{3A0F0F5E-2A0E-4288-9FD1-87D5822850D9}" name="current_price"/>
    <tableColumn id="10" xr3:uid="{8F8B7D75-5B2A-4526-A5E5-976A8547D4E9}" name="daily_change_pct"/>
    <tableColumn id="11" xr3:uid="{4C5A4A30-09A8-4467-A982-713EAF7FE3BC}" name="volume"/>
    <tableColumn id="12" xr3:uid="{D2637A67-AF7D-4FDD-873E-C1D30CA89FC5}" name="pricing_status"/>
    <tableColumn id="13" xr3:uid="{071B4478-771D-4C92-B86F-E86E9B5DC974}" name="exception_flag"/>
    <tableColumn id="14" xr3:uid="{9C2AE2B9-6CA8-4C24-B399-1A3A953C3349}" name="exceptio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214-C186-4FAE-88E8-5041C8A09866}">
  <dimension ref="A1:N481"/>
  <sheetViews>
    <sheetView topLeftCell="A2" workbookViewId="0">
      <selection activeCell="D10" sqref="D10"/>
    </sheetView>
  </sheetViews>
  <sheetFormatPr defaultRowHeight="14.4" x14ac:dyDescent="0.3"/>
  <cols>
    <col min="1" max="1" width="13.33203125" customWidth="1"/>
    <col min="2" max="2" width="12" customWidth="1"/>
    <col min="3" max="3" width="8.33203125" bestFit="1" customWidth="1"/>
    <col min="4" max="4" width="28.109375" bestFit="1" customWidth="1"/>
    <col min="5" max="5" width="15.21875" bestFit="1" customWidth="1"/>
    <col min="6" max="6" width="10.21875" customWidth="1"/>
    <col min="7" max="7" width="15.5546875" customWidth="1"/>
    <col min="8" max="8" width="15.33203125" customWidth="1"/>
    <col min="9" max="9" width="14.109375" customWidth="1"/>
    <col min="10" max="10" width="17.6640625" customWidth="1"/>
    <col min="11" max="11" width="9.21875" customWidth="1"/>
    <col min="12" max="12" width="14.5546875" customWidth="1"/>
    <col min="13" max="13" width="15.21875" customWidth="1"/>
    <col min="14" max="14" width="21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45839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185</v>
      </c>
      <c r="I2">
        <v>180.08</v>
      </c>
      <c r="J2">
        <v>-2.66</v>
      </c>
      <c r="K2">
        <v>1922427</v>
      </c>
      <c r="L2" t="s">
        <v>20</v>
      </c>
      <c r="M2" t="s">
        <v>21</v>
      </c>
      <c r="N2" t="s">
        <v>22</v>
      </c>
    </row>
    <row r="3" spans="1:14" x14ac:dyDescent="0.3">
      <c r="A3" s="1">
        <v>45840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23</v>
      </c>
      <c r="H3">
        <v>180.08</v>
      </c>
      <c r="I3">
        <v>182.46</v>
      </c>
      <c r="J3">
        <v>1.32</v>
      </c>
      <c r="K3">
        <v>4624866</v>
      </c>
      <c r="L3" t="s">
        <v>20</v>
      </c>
      <c r="M3" t="s">
        <v>21</v>
      </c>
      <c r="N3" t="s">
        <v>22</v>
      </c>
    </row>
    <row r="4" spans="1:14" x14ac:dyDescent="0.3">
      <c r="A4" s="1">
        <v>45841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182.46</v>
      </c>
      <c r="I4">
        <v>196.7</v>
      </c>
      <c r="J4">
        <v>7.8</v>
      </c>
      <c r="K4">
        <v>1884068</v>
      </c>
      <c r="L4" t="s">
        <v>24</v>
      </c>
      <c r="M4" t="s">
        <v>25</v>
      </c>
      <c r="N4" t="s">
        <v>26</v>
      </c>
    </row>
    <row r="5" spans="1:14" x14ac:dyDescent="0.3">
      <c r="A5" s="1">
        <v>45842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23</v>
      </c>
      <c r="H5">
        <v>196.7</v>
      </c>
      <c r="I5">
        <v>180.17</v>
      </c>
      <c r="J5">
        <v>-8.4</v>
      </c>
      <c r="K5">
        <v>4621300</v>
      </c>
      <c r="L5" t="s">
        <v>24</v>
      </c>
      <c r="M5" t="s">
        <v>25</v>
      </c>
      <c r="N5" t="s">
        <v>26</v>
      </c>
    </row>
    <row r="6" spans="1:14" x14ac:dyDescent="0.3">
      <c r="A6" s="1">
        <v>45845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27</v>
      </c>
      <c r="H6">
        <v>180.17</v>
      </c>
      <c r="I6">
        <v>177.35</v>
      </c>
      <c r="J6">
        <v>-1.57</v>
      </c>
      <c r="K6">
        <v>104515</v>
      </c>
      <c r="L6" t="s">
        <v>20</v>
      </c>
      <c r="M6" t="s">
        <v>21</v>
      </c>
      <c r="N6" t="s">
        <v>22</v>
      </c>
    </row>
    <row r="7" spans="1:14" x14ac:dyDescent="0.3">
      <c r="A7" s="1">
        <v>45846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23</v>
      </c>
      <c r="H7">
        <v>177.35</v>
      </c>
      <c r="I7">
        <v>179.32</v>
      </c>
      <c r="J7">
        <v>1.1100000000000001</v>
      </c>
      <c r="K7">
        <v>1354256</v>
      </c>
      <c r="L7" t="s">
        <v>20</v>
      </c>
      <c r="M7" t="s">
        <v>21</v>
      </c>
      <c r="N7" t="s">
        <v>22</v>
      </c>
    </row>
    <row r="8" spans="1:14" x14ac:dyDescent="0.3">
      <c r="A8" s="1">
        <v>45847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23</v>
      </c>
      <c r="H8">
        <v>179.32</v>
      </c>
      <c r="I8">
        <v>183.91</v>
      </c>
      <c r="J8">
        <v>2.56</v>
      </c>
      <c r="K8">
        <v>828008</v>
      </c>
      <c r="L8" t="s">
        <v>20</v>
      </c>
      <c r="M8" t="s">
        <v>21</v>
      </c>
      <c r="N8" t="s">
        <v>22</v>
      </c>
    </row>
    <row r="9" spans="1:14" x14ac:dyDescent="0.3">
      <c r="A9" s="1">
        <v>45848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27</v>
      </c>
      <c r="H9">
        <v>183.91</v>
      </c>
      <c r="I9">
        <v>179.76</v>
      </c>
      <c r="J9">
        <v>-2.2599999999999998</v>
      </c>
      <c r="K9">
        <v>2268961</v>
      </c>
      <c r="L9" t="s">
        <v>20</v>
      </c>
      <c r="M9" t="s">
        <v>21</v>
      </c>
      <c r="N9" t="s">
        <v>22</v>
      </c>
    </row>
    <row r="10" spans="1:14" x14ac:dyDescent="0.3">
      <c r="A10" s="1">
        <v>45849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>
        <v>179.76</v>
      </c>
      <c r="I10">
        <v>182.07</v>
      </c>
      <c r="J10">
        <v>1.29</v>
      </c>
      <c r="K10">
        <v>3225376</v>
      </c>
      <c r="L10" t="s">
        <v>20</v>
      </c>
      <c r="M10" t="s">
        <v>21</v>
      </c>
      <c r="N10" t="s">
        <v>22</v>
      </c>
    </row>
    <row r="11" spans="1:14" x14ac:dyDescent="0.3">
      <c r="A11" s="1">
        <v>45852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>
        <v>182.07</v>
      </c>
      <c r="I11">
        <v>182.6</v>
      </c>
      <c r="J11">
        <v>0.28999999999999998</v>
      </c>
      <c r="K11">
        <v>3083614</v>
      </c>
      <c r="L11" t="s">
        <v>20</v>
      </c>
      <c r="M11" t="s">
        <v>21</v>
      </c>
      <c r="N11" t="s">
        <v>22</v>
      </c>
    </row>
    <row r="12" spans="1:14" x14ac:dyDescent="0.3">
      <c r="A12" s="1">
        <v>45853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23</v>
      </c>
      <c r="H12">
        <v>182.6</v>
      </c>
      <c r="I12">
        <v>182.6</v>
      </c>
      <c r="J12">
        <v>0</v>
      </c>
      <c r="K12">
        <v>1961749</v>
      </c>
      <c r="L12" t="s">
        <v>24</v>
      </c>
      <c r="M12" t="s">
        <v>25</v>
      </c>
      <c r="N12" t="s">
        <v>28</v>
      </c>
    </row>
    <row r="13" spans="1:14" x14ac:dyDescent="0.3">
      <c r="A13" s="1">
        <v>45854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29</v>
      </c>
      <c r="H13">
        <v>182.6</v>
      </c>
      <c r="I13">
        <v>187.56</v>
      </c>
      <c r="J13">
        <v>2.72</v>
      </c>
      <c r="K13">
        <v>897261</v>
      </c>
      <c r="L13" t="s">
        <v>20</v>
      </c>
      <c r="M13" t="s">
        <v>21</v>
      </c>
      <c r="N13" t="s">
        <v>22</v>
      </c>
    </row>
    <row r="14" spans="1:14" x14ac:dyDescent="0.3">
      <c r="A14" s="1">
        <v>45855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27</v>
      </c>
      <c r="H14">
        <v>187.56</v>
      </c>
      <c r="I14">
        <v>185.23</v>
      </c>
      <c r="J14">
        <v>-1.24</v>
      </c>
      <c r="K14">
        <v>3110434</v>
      </c>
      <c r="L14" t="s">
        <v>20</v>
      </c>
      <c r="M14" t="s">
        <v>21</v>
      </c>
      <c r="N14" t="s">
        <v>22</v>
      </c>
    </row>
    <row r="15" spans="1:14" x14ac:dyDescent="0.3">
      <c r="A15" s="1">
        <v>45856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23</v>
      </c>
      <c r="H15">
        <v>185.23</v>
      </c>
      <c r="I15">
        <v>183.88</v>
      </c>
      <c r="J15">
        <v>-0.73</v>
      </c>
      <c r="K15">
        <v>2289572</v>
      </c>
      <c r="L15" t="s">
        <v>20</v>
      </c>
      <c r="M15" t="s">
        <v>21</v>
      </c>
      <c r="N15" t="s">
        <v>22</v>
      </c>
    </row>
    <row r="16" spans="1:14" x14ac:dyDescent="0.3">
      <c r="A16" s="1">
        <v>45859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>
        <v>183.88</v>
      </c>
      <c r="I16">
        <v>185.01</v>
      </c>
      <c r="J16">
        <v>0.61</v>
      </c>
      <c r="K16">
        <v>2103622</v>
      </c>
      <c r="L16" t="s">
        <v>20</v>
      </c>
      <c r="M16" t="s">
        <v>21</v>
      </c>
      <c r="N16" t="s">
        <v>22</v>
      </c>
    </row>
    <row r="17" spans="1:14" x14ac:dyDescent="0.3">
      <c r="A17" s="1">
        <v>45860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23</v>
      </c>
      <c r="H17">
        <v>185.01</v>
      </c>
      <c r="I17">
        <v>184.62</v>
      </c>
      <c r="J17">
        <v>-0.21</v>
      </c>
      <c r="K17">
        <v>4722033</v>
      </c>
      <c r="L17" t="s">
        <v>20</v>
      </c>
      <c r="M17" t="s">
        <v>21</v>
      </c>
      <c r="N17" t="s">
        <v>22</v>
      </c>
    </row>
    <row r="18" spans="1:14" x14ac:dyDescent="0.3">
      <c r="A18" s="1">
        <v>45861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23</v>
      </c>
      <c r="H18">
        <v>184.62</v>
      </c>
      <c r="I18">
        <v>186.53</v>
      </c>
      <c r="J18">
        <v>1.03</v>
      </c>
      <c r="K18">
        <v>519241</v>
      </c>
      <c r="L18" t="s">
        <v>20</v>
      </c>
      <c r="M18" t="s">
        <v>21</v>
      </c>
      <c r="N18" t="s">
        <v>22</v>
      </c>
    </row>
    <row r="19" spans="1:14" x14ac:dyDescent="0.3">
      <c r="A19" s="1">
        <v>45862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23</v>
      </c>
      <c r="H19">
        <v>186.53</v>
      </c>
      <c r="I19">
        <v>189.89</v>
      </c>
      <c r="J19">
        <v>1.8</v>
      </c>
      <c r="K19">
        <v>3415214</v>
      </c>
      <c r="L19" t="s">
        <v>20</v>
      </c>
      <c r="M19" t="s">
        <v>21</v>
      </c>
      <c r="N19" t="s">
        <v>22</v>
      </c>
    </row>
    <row r="20" spans="1:14" x14ac:dyDescent="0.3">
      <c r="A20" s="1">
        <v>45863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29</v>
      </c>
      <c r="H20">
        <v>189.89</v>
      </c>
      <c r="I20">
        <v>185.27</v>
      </c>
      <c r="J20">
        <v>-2.4300000000000002</v>
      </c>
      <c r="K20">
        <v>4807851</v>
      </c>
      <c r="L20" t="s">
        <v>20</v>
      </c>
      <c r="M20" t="s">
        <v>21</v>
      </c>
      <c r="N20" t="s">
        <v>22</v>
      </c>
    </row>
    <row r="21" spans="1:14" x14ac:dyDescent="0.3">
      <c r="A21" s="1">
        <v>45866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29</v>
      </c>
      <c r="H21">
        <v>185.27</v>
      </c>
      <c r="I21">
        <v>182.29</v>
      </c>
      <c r="J21">
        <v>-1.61</v>
      </c>
      <c r="K21">
        <v>3899128</v>
      </c>
      <c r="L21" t="s">
        <v>20</v>
      </c>
      <c r="M21" t="s">
        <v>21</v>
      </c>
      <c r="N21" t="s">
        <v>22</v>
      </c>
    </row>
    <row r="22" spans="1:14" x14ac:dyDescent="0.3">
      <c r="A22" s="1">
        <v>45867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23</v>
      </c>
      <c r="H22">
        <v>182.29</v>
      </c>
      <c r="I22">
        <v>179.89</v>
      </c>
      <c r="J22">
        <v>-1.32</v>
      </c>
      <c r="K22">
        <v>4759097</v>
      </c>
      <c r="L22" t="s">
        <v>20</v>
      </c>
      <c r="M22" t="s">
        <v>21</v>
      </c>
      <c r="N22" t="s">
        <v>22</v>
      </c>
    </row>
    <row r="23" spans="1:14" x14ac:dyDescent="0.3">
      <c r="A23" s="1">
        <v>45868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29</v>
      </c>
      <c r="H23">
        <v>179.89</v>
      </c>
      <c r="I23">
        <v>182.38</v>
      </c>
      <c r="J23">
        <v>1.38</v>
      </c>
      <c r="K23">
        <v>4945028</v>
      </c>
      <c r="L23" t="s">
        <v>20</v>
      </c>
      <c r="M23" t="s">
        <v>21</v>
      </c>
      <c r="N23" t="s">
        <v>22</v>
      </c>
    </row>
    <row r="24" spans="1:14" x14ac:dyDescent="0.3">
      <c r="A24" s="1">
        <v>45869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27</v>
      </c>
      <c r="H24">
        <v>182.38</v>
      </c>
      <c r="I24">
        <v>180.97</v>
      </c>
      <c r="J24">
        <v>-0.77</v>
      </c>
      <c r="K24">
        <v>1210410</v>
      </c>
      <c r="L24" t="s">
        <v>20</v>
      </c>
      <c r="M24" t="s">
        <v>21</v>
      </c>
      <c r="N24" t="s">
        <v>22</v>
      </c>
    </row>
    <row r="25" spans="1:14" x14ac:dyDescent="0.3">
      <c r="A25" s="1">
        <v>45870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27</v>
      </c>
      <c r="H25">
        <v>180.97</v>
      </c>
      <c r="I25">
        <v>180.97</v>
      </c>
      <c r="J25">
        <v>0</v>
      </c>
      <c r="K25">
        <v>969803</v>
      </c>
      <c r="L25" t="s">
        <v>24</v>
      </c>
      <c r="M25" t="s">
        <v>25</v>
      </c>
      <c r="N25" t="s">
        <v>28</v>
      </c>
    </row>
    <row r="26" spans="1:14" x14ac:dyDescent="0.3">
      <c r="A26" s="1">
        <v>45873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23</v>
      </c>
      <c r="H26">
        <v>180.97</v>
      </c>
      <c r="I26">
        <v>182.26</v>
      </c>
      <c r="J26">
        <v>0.71</v>
      </c>
      <c r="K26">
        <v>3591334</v>
      </c>
      <c r="L26" t="s">
        <v>20</v>
      </c>
      <c r="M26" t="s">
        <v>21</v>
      </c>
      <c r="N26" t="s">
        <v>22</v>
      </c>
    </row>
    <row r="27" spans="1:14" x14ac:dyDescent="0.3">
      <c r="A27" s="1">
        <v>45874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>
        <v>182.26</v>
      </c>
      <c r="I27">
        <v>181.09</v>
      </c>
      <c r="J27">
        <v>-0.65</v>
      </c>
      <c r="K27">
        <v>3976287</v>
      </c>
      <c r="L27" t="s">
        <v>20</v>
      </c>
      <c r="M27" t="s">
        <v>21</v>
      </c>
      <c r="N27" t="s">
        <v>22</v>
      </c>
    </row>
    <row r="28" spans="1:14" x14ac:dyDescent="0.3">
      <c r="A28" s="1">
        <v>45875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29</v>
      </c>
      <c r="H28">
        <v>181.09</v>
      </c>
      <c r="I28">
        <v>185.86</v>
      </c>
      <c r="J28">
        <v>2.64</v>
      </c>
      <c r="K28">
        <v>146309</v>
      </c>
      <c r="L28" t="s">
        <v>20</v>
      </c>
      <c r="M28" t="s">
        <v>21</v>
      </c>
      <c r="N28" t="s">
        <v>22</v>
      </c>
    </row>
    <row r="29" spans="1:14" x14ac:dyDescent="0.3">
      <c r="A29" s="1">
        <v>45876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>
        <v>185.86</v>
      </c>
      <c r="I29">
        <v>187.76</v>
      </c>
      <c r="J29">
        <v>1.02</v>
      </c>
      <c r="K29">
        <v>2288291</v>
      </c>
      <c r="L29" t="s">
        <v>20</v>
      </c>
      <c r="M29" t="s">
        <v>21</v>
      </c>
      <c r="N29" t="s">
        <v>22</v>
      </c>
    </row>
    <row r="30" spans="1:14" x14ac:dyDescent="0.3">
      <c r="A30" s="1">
        <v>45877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29</v>
      </c>
      <c r="H30">
        <v>187.76</v>
      </c>
      <c r="I30">
        <v>183.67</v>
      </c>
      <c r="J30">
        <v>-2.1800000000000002</v>
      </c>
      <c r="K30">
        <v>3856110</v>
      </c>
      <c r="L30" t="s">
        <v>20</v>
      </c>
      <c r="M30" t="s">
        <v>21</v>
      </c>
      <c r="N30" t="s">
        <v>22</v>
      </c>
    </row>
    <row r="31" spans="1:14" x14ac:dyDescent="0.3">
      <c r="A31" s="1">
        <v>45880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>
        <v>183.67</v>
      </c>
      <c r="I31">
        <v>188.34</v>
      </c>
      <c r="J31">
        <v>2.54</v>
      </c>
      <c r="K31">
        <v>2259467</v>
      </c>
      <c r="L31" t="s">
        <v>20</v>
      </c>
      <c r="M31" t="s">
        <v>21</v>
      </c>
      <c r="N31" t="s">
        <v>22</v>
      </c>
    </row>
    <row r="32" spans="1:14" x14ac:dyDescent="0.3">
      <c r="A32" s="1">
        <v>45881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23</v>
      </c>
      <c r="H32">
        <v>188.34</v>
      </c>
      <c r="I32">
        <v>188.42</v>
      </c>
      <c r="J32">
        <v>0.04</v>
      </c>
      <c r="K32">
        <v>2553536</v>
      </c>
      <c r="L32" t="s">
        <v>20</v>
      </c>
      <c r="M32" t="s">
        <v>21</v>
      </c>
      <c r="N32" t="s">
        <v>22</v>
      </c>
    </row>
    <row r="33" spans="1:14" x14ac:dyDescent="0.3">
      <c r="A33" s="1">
        <v>45882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23</v>
      </c>
      <c r="H33">
        <v>188.42</v>
      </c>
      <c r="I33">
        <v>184.76</v>
      </c>
      <c r="J33">
        <v>-1.94</v>
      </c>
      <c r="K33">
        <v>4574639</v>
      </c>
      <c r="L33" t="s">
        <v>20</v>
      </c>
      <c r="M33" t="s">
        <v>21</v>
      </c>
      <c r="N33" t="s">
        <v>22</v>
      </c>
    </row>
    <row r="34" spans="1:14" x14ac:dyDescent="0.3">
      <c r="A34" s="1">
        <v>45883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>
        <v>184.76</v>
      </c>
      <c r="I34">
        <v>185.78</v>
      </c>
      <c r="J34">
        <v>0.55000000000000004</v>
      </c>
      <c r="K34">
        <v>988414</v>
      </c>
      <c r="L34" t="s">
        <v>20</v>
      </c>
      <c r="M34" t="s">
        <v>21</v>
      </c>
      <c r="N34" t="s">
        <v>22</v>
      </c>
    </row>
    <row r="35" spans="1:14" x14ac:dyDescent="0.3">
      <c r="A35" s="1">
        <v>45884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29</v>
      </c>
      <c r="H35">
        <v>185.78</v>
      </c>
      <c r="I35">
        <v>189.72</v>
      </c>
      <c r="J35">
        <v>2.12</v>
      </c>
      <c r="K35">
        <v>2629615</v>
      </c>
      <c r="L35" t="s">
        <v>20</v>
      </c>
      <c r="M35" t="s">
        <v>21</v>
      </c>
      <c r="N35" t="s">
        <v>22</v>
      </c>
    </row>
    <row r="36" spans="1:14" x14ac:dyDescent="0.3">
      <c r="A36" s="1">
        <v>45887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23</v>
      </c>
      <c r="H36">
        <v>189.72</v>
      </c>
      <c r="I36">
        <v>185.02</v>
      </c>
      <c r="J36">
        <v>-2.48</v>
      </c>
      <c r="K36">
        <v>710662</v>
      </c>
      <c r="L36" t="s">
        <v>20</v>
      </c>
      <c r="M36" t="s">
        <v>21</v>
      </c>
      <c r="N36" t="s">
        <v>22</v>
      </c>
    </row>
    <row r="37" spans="1:14" x14ac:dyDescent="0.3">
      <c r="A37" s="1">
        <v>45888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>
        <v>185.02</v>
      </c>
      <c r="I37">
        <v>187.43</v>
      </c>
      <c r="J37">
        <v>1.3</v>
      </c>
      <c r="K37">
        <v>4518663</v>
      </c>
      <c r="L37" t="s">
        <v>20</v>
      </c>
      <c r="M37" t="s">
        <v>21</v>
      </c>
      <c r="N37" t="s">
        <v>22</v>
      </c>
    </row>
    <row r="38" spans="1:14" x14ac:dyDescent="0.3">
      <c r="A38" s="1">
        <v>45889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23</v>
      </c>
      <c r="H38">
        <v>187.43</v>
      </c>
      <c r="I38">
        <v>183.53</v>
      </c>
      <c r="J38">
        <v>-2.08</v>
      </c>
      <c r="K38">
        <v>4662086</v>
      </c>
      <c r="L38" t="s">
        <v>20</v>
      </c>
      <c r="M38" t="s">
        <v>21</v>
      </c>
      <c r="N38" t="s">
        <v>22</v>
      </c>
    </row>
    <row r="39" spans="1:14" x14ac:dyDescent="0.3">
      <c r="A39" s="1">
        <v>45890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23</v>
      </c>
      <c r="H39">
        <v>183.53</v>
      </c>
      <c r="I39">
        <v>181.11</v>
      </c>
      <c r="J39">
        <v>-1.32</v>
      </c>
      <c r="K39">
        <v>3599538</v>
      </c>
      <c r="L39" t="s">
        <v>20</v>
      </c>
      <c r="M39" t="s">
        <v>21</v>
      </c>
      <c r="N39" t="s">
        <v>22</v>
      </c>
    </row>
    <row r="40" spans="1:14" x14ac:dyDescent="0.3">
      <c r="A40" s="1">
        <v>45891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23</v>
      </c>
      <c r="H40">
        <v>181.11</v>
      </c>
      <c r="I40">
        <v>185.46</v>
      </c>
      <c r="J40">
        <v>2.4</v>
      </c>
      <c r="K40">
        <v>1737377</v>
      </c>
      <c r="L40" t="s">
        <v>20</v>
      </c>
      <c r="M40" t="s">
        <v>21</v>
      </c>
      <c r="N40" t="s">
        <v>22</v>
      </c>
    </row>
    <row r="41" spans="1:14" x14ac:dyDescent="0.3">
      <c r="A41" s="1">
        <v>45894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29</v>
      </c>
      <c r="H41">
        <v>185.46</v>
      </c>
      <c r="I41">
        <v>184.41</v>
      </c>
      <c r="J41">
        <v>-0.56999999999999995</v>
      </c>
      <c r="K41">
        <v>3182478</v>
      </c>
      <c r="L41" t="s">
        <v>20</v>
      </c>
      <c r="M41" t="s">
        <v>21</v>
      </c>
      <c r="N41" t="s">
        <v>22</v>
      </c>
    </row>
    <row r="42" spans="1:14" x14ac:dyDescent="0.3">
      <c r="A42" s="1">
        <v>45895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27</v>
      </c>
      <c r="H42">
        <v>184.41</v>
      </c>
      <c r="I42">
        <v>188.54</v>
      </c>
      <c r="J42">
        <v>2.2400000000000002</v>
      </c>
      <c r="K42">
        <v>2129583</v>
      </c>
      <c r="L42" t="s">
        <v>20</v>
      </c>
      <c r="M42" t="s">
        <v>21</v>
      </c>
      <c r="N42" t="s">
        <v>22</v>
      </c>
    </row>
    <row r="43" spans="1:14" x14ac:dyDescent="0.3">
      <c r="A43" s="1">
        <v>45896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23</v>
      </c>
      <c r="H43">
        <v>188.54</v>
      </c>
      <c r="I43">
        <v>172.7</v>
      </c>
      <c r="J43">
        <v>-8.4</v>
      </c>
      <c r="K43">
        <v>4986193</v>
      </c>
      <c r="L43" t="s">
        <v>24</v>
      </c>
      <c r="M43" t="s">
        <v>25</v>
      </c>
      <c r="N43" t="s">
        <v>26</v>
      </c>
    </row>
    <row r="44" spans="1:14" x14ac:dyDescent="0.3">
      <c r="A44" s="1">
        <v>45897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23</v>
      </c>
      <c r="H44">
        <v>172.7</v>
      </c>
      <c r="I44">
        <v>167.94</v>
      </c>
      <c r="J44">
        <v>-2.76</v>
      </c>
      <c r="K44">
        <v>543868</v>
      </c>
      <c r="L44" t="s">
        <v>20</v>
      </c>
      <c r="M44" t="s">
        <v>21</v>
      </c>
      <c r="N44" t="s">
        <v>22</v>
      </c>
    </row>
    <row r="45" spans="1:14" x14ac:dyDescent="0.3">
      <c r="A45" s="1">
        <v>45898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23</v>
      </c>
      <c r="H45">
        <v>167.94</v>
      </c>
      <c r="I45">
        <v>185.07</v>
      </c>
      <c r="J45">
        <v>10.199999999999999</v>
      </c>
      <c r="K45">
        <v>644394</v>
      </c>
      <c r="L45" t="s">
        <v>24</v>
      </c>
      <c r="M45" t="s">
        <v>25</v>
      </c>
      <c r="N45" t="s">
        <v>26</v>
      </c>
    </row>
    <row r="46" spans="1:14" x14ac:dyDescent="0.3">
      <c r="A46" s="1">
        <v>45901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23</v>
      </c>
      <c r="H46">
        <v>185.07</v>
      </c>
      <c r="I46">
        <v>182.77</v>
      </c>
      <c r="J46">
        <v>-1.24</v>
      </c>
      <c r="K46">
        <v>4573422</v>
      </c>
      <c r="L46" t="s">
        <v>20</v>
      </c>
      <c r="M46" t="s">
        <v>21</v>
      </c>
      <c r="N46" t="s">
        <v>22</v>
      </c>
    </row>
    <row r="47" spans="1:14" x14ac:dyDescent="0.3">
      <c r="A47" s="1">
        <v>45902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23</v>
      </c>
      <c r="H47">
        <v>182.77</v>
      </c>
      <c r="I47">
        <v>185.06</v>
      </c>
      <c r="J47">
        <v>1.25</v>
      </c>
      <c r="K47">
        <v>4883613</v>
      </c>
      <c r="L47" t="s">
        <v>20</v>
      </c>
      <c r="M47" t="s">
        <v>21</v>
      </c>
      <c r="N47" t="s">
        <v>22</v>
      </c>
    </row>
    <row r="48" spans="1:14" x14ac:dyDescent="0.3">
      <c r="A48" s="1">
        <v>45903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27</v>
      </c>
      <c r="H48">
        <v>185.06</v>
      </c>
      <c r="I48">
        <v>182.39</v>
      </c>
      <c r="J48">
        <v>-1.44</v>
      </c>
      <c r="K48">
        <v>3464666</v>
      </c>
      <c r="L48" t="s">
        <v>20</v>
      </c>
      <c r="M48" t="s">
        <v>21</v>
      </c>
      <c r="N48" t="s">
        <v>22</v>
      </c>
    </row>
    <row r="49" spans="1:14" x14ac:dyDescent="0.3">
      <c r="A49" s="1">
        <v>45904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23</v>
      </c>
      <c r="H49">
        <v>182.39</v>
      </c>
      <c r="I49">
        <v>178.25</v>
      </c>
      <c r="J49">
        <v>-2.27</v>
      </c>
      <c r="K49">
        <v>3022063</v>
      </c>
      <c r="L49" t="s">
        <v>20</v>
      </c>
      <c r="M49" t="s">
        <v>21</v>
      </c>
      <c r="N49" t="s">
        <v>22</v>
      </c>
    </row>
    <row r="50" spans="1:14" x14ac:dyDescent="0.3">
      <c r="A50" s="1">
        <v>45905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27</v>
      </c>
      <c r="H50">
        <v>178.25</v>
      </c>
      <c r="I50">
        <v>177.36</v>
      </c>
      <c r="J50">
        <v>-0.5</v>
      </c>
      <c r="K50">
        <v>504420</v>
      </c>
      <c r="L50" t="s">
        <v>20</v>
      </c>
      <c r="M50" t="s">
        <v>21</v>
      </c>
      <c r="N50" t="s">
        <v>22</v>
      </c>
    </row>
    <row r="51" spans="1:14" x14ac:dyDescent="0.3">
      <c r="A51" s="1">
        <v>45908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>
        <v>177.36</v>
      </c>
      <c r="I51">
        <v>173</v>
      </c>
      <c r="J51">
        <v>-2.46</v>
      </c>
      <c r="K51">
        <v>966615</v>
      </c>
      <c r="L51" t="s">
        <v>20</v>
      </c>
      <c r="M51" t="s">
        <v>21</v>
      </c>
      <c r="N51" t="s">
        <v>22</v>
      </c>
    </row>
    <row r="52" spans="1:14" x14ac:dyDescent="0.3">
      <c r="A52" s="1">
        <v>45909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23</v>
      </c>
      <c r="H52">
        <v>173</v>
      </c>
      <c r="I52">
        <v>170.01</v>
      </c>
      <c r="J52">
        <v>-1.73</v>
      </c>
      <c r="K52">
        <v>1225934</v>
      </c>
      <c r="L52" t="s">
        <v>20</v>
      </c>
      <c r="M52" t="s">
        <v>21</v>
      </c>
      <c r="N52" t="s">
        <v>22</v>
      </c>
    </row>
    <row r="53" spans="1:14" x14ac:dyDescent="0.3">
      <c r="A53" s="1">
        <v>45910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27</v>
      </c>
      <c r="H53">
        <v>170.01</v>
      </c>
      <c r="I53">
        <v>167</v>
      </c>
      <c r="J53">
        <v>-1.77</v>
      </c>
      <c r="K53">
        <v>682374</v>
      </c>
      <c r="L53" t="s">
        <v>20</v>
      </c>
      <c r="M53" t="s">
        <v>21</v>
      </c>
      <c r="N53" t="s">
        <v>22</v>
      </c>
    </row>
    <row r="54" spans="1:14" x14ac:dyDescent="0.3">
      <c r="A54" s="1">
        <v>45911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27</v>
      </c>
      <c r="H54">
        <v>167</v>
      </c>
      <c r="I54">
        <v>169.88</v>
      </c>
      <c r="J54">
        <v>1.72</v>
      </c>
      <c r="K54">
        <v>871317</v>
      </c>
      <c r="L54" t="s">
        <v>20</v>
      </c>
      <c r="M54" t="s">
        <v>21</v>
      </c>
      <c r="N54" t="s">
        <v>22</v>
      </c>
    </row>
    <row r="55" spans="1:14" x14ac:dyDescent="0.3">
      <c r="A55" s="1">
        <v>45912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>
        <v>169.88</v>
      </c>
      <c r="I55">
        <v>171.32</v>
      </c>
      <c r="J55">
        <v>0.85</v>
      </c>
      <c r="K55">
        <v>173797</v>
      </c>
      <c r="L55" t="s">
        <v>20</v>
      </c>
      <c r="M55" t="s">
        <v>21</v>
      </c>
      <c r="N55" t="s">
        <v>22</v>
      </c>
    </row>
    <row r="56" spans="1:14" x14ac:dyDescent="0.3">
      <c r="A56" s="1">
        <v>45915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>
        <v>171.32</v>
      </c>
      <c r="I56">
        <v>175.42</v>
      </c>
      <c r="J56">
        <v>2.39</v>
      </c>
      <c r="K56">
        <v>1445118</v>
      </c>
      <c r="L56" t="s">
        <v>20</v>
      </c>
      <c r="M56" t="s">
        <v>21</v>
      </c>
      <c r="N56" t="s">
        <v>22</v>
      </c>
    </row>
    <row r="57" spans="1:14" x14ac:dyDescent="0.3">
      <c r="A57" s="1">
        <v>45916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27</v>
      </c>
      <c r="H57">
        <v>175.42</v>
      </c>
      <c r="I57">
        <v>175.27</v>
      </c>
      <c r="J57">
        <v>-0.08</v>
      </c>
      <c r="K57">
        <v>3414169</v>
      </c>
      <c r="L57" t="s">
        <v>20</v>
      </c>
      <c r="M57" t="s">
        <v>21</v>
      </c>
      <c r="N57" t="s">
        <v>22</v>
      </c>
    </row>
    <row r="58" spans="1:14" x14ac:dyDescent="0.3">
      <c r="A58" s="1">
        <v>45917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>
        <v>175.27</v>
      </c>
      <c r="L58" t="s">
        <v>24</v>
      </c>
      <c r="M58" t="s">
        <v>25</v>
      </c>
      <c r="N58" t="s">
        <v>30</v>
      </c>
    </row>
    <row r="59" spans="1:14" x14ac:dyDescent="0.3">
      <c r="A59" s="1">
        <v>45918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27</v>
      </c>
      <c r="H59">
        <v>175.27</v>
      </c>
      <c r="I59">
        <v>172.97</v>
      </c>
      <c r="J59">
        <v>-1.31</v>
      </c>
      <c r="K59">
        <v>3866886</v>
      </c>
      <c r="L59" t="s">
        <v>20</v>
      </c>
      <c r="M59" t="s">
        <v>21</v>
      </c>
      <c r="N59" t="s">
        <v>22</v>
      </c>
    </row>
    <row r="60" spans="1:14" x14ac:dyDescent="0.3">
      <c r="A60" s="1">
        <v>45919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29</v>
      </c>
      <c r="H60">
        <v>172.97</v>
      </c>
      <c r="I60">
        <v>172.22</v>
      </c>
      <c r="J60">
        <v>-0.43</v>
      </c>
      <c r="K60">
        <v>4712122</v>
      </c>
      <c r="L60" t="s">
        <v>20</v>
      </c>
      <c r="M60" t="s">
        <v>21</v>
      </c>
      <c r="N60" t="s">
        <v>22</v>
      </c>
    </row>
    <row r="61" spans="1:14" x14ac:dyDescent="0.3">
      <c r="A61" s="1">
        <v>45922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27</v>
      </c>
      <c r="H61">
        <v>172.22</v>
      </c>
      <c r="I61">
        <v>168.89</v>
      </c>
      <c r="J61">
        <v>-1.93</v>
      </c>
      <c r="K61">
        <v>540593</v>
      </c>
      <c r="L61" t="s">
        <v>20</v>
      </c>
      <c r="M61" t="s">
        <v>21</v>
      </c>
      <c r="N61" t="s">
        <v>22</v>
      </c>
    </row>
    <row r="62" spans="1:14" x14ac:dyDescent="0.3">
      <c r="A62" s="1">
        <v>45839</v>
      </c>
      <c r="B62" t="s">
        <v>31</v>
      </c>
      <c r="C62" t="s">
        <v>32</v>
      </c>
      <c r="D62" t="s">
        <v>33</v>
      </c>
      <c r="E62" t="s">
        <v>17</v>
      </c>
      <c r="F62" t="s">
        <v>18</v>
      </c>
      <c r="G62" t="s">
        <v>19</v>
      </c>
      <c r="H62">
        <v>410</v>
      </c>
      <c r="I62">
        <v>415.69</v>
      </c>
      <c r="J62">
        <v>1.39</v>
      </c>
      <c r="K62">
        <v>4950436</v>
      </c>
      <c r="L62" t="s">
        <v>20</v>
      </c>
      <c r="M62" t="s">
        <v>21</v>
      </c>
      <c r="N62" t="s">
        <v>22</v>
      </c>
    </row>
    <row r="63" spans="1:14" x14ac:dyDescent="0.3">
      <c r="A63" s="1">
        <v>45840</v>
      </c>
      <c r="B63" t="s">
        <v>31</v>
      </c>
      <c r="C63" t="s">
        <v>32</v>
      </c>
      <c r="D63" t="s">
        <v>33</v>
      </c>
      <c r="E63" t="s">
        <v>17</v>
      </c>
      <c r="F63" t="s">
        <v>18</v>
      </c>
      <c r="G63" t="s">
        <v>27</v>
      </c>
      <c r="H63">
        <v>415.69</v>
      </c>
      <c r="I63">
        <v>415.76</v>
      </c>
      <c r="J63">
        <v>0.02</v>
      </c>
      <c r="K63">
        <v>1370641</v>
      </c>
      <c r="L63" t="s">
        <v>20</v>
      </c>
      <c r="M63" t="s">
        <v>21</v>
      </c>
      <c r="N63" t="s">
        <v>22</v>
      </c>
    </row>
    <row r="64" spans="1:14" x14ac:dyDescent="0.3">
      <c r="A64" s="1">
        <v>45841</v>
      </c>
      <c r="B64" t="s">
        <v>31</v>
      </c>
      <c r="C64" t="s">
        <v>32</v>
      </c>
      <c r="D64" t="s">
        <v>33</v>
      </c>
      <c r="E64" t="s">
        <v>17</v>
      </c>
      <c r="F64" t="s">
        <v>18</v>
      </c>
      <c r="G64" t="s">
        <v>19</v>
      </c>
      <c r="H64">
        <v>415.76</v>
      </c>
      <c r="I64">
        <v>426.49</v>
      </c>
      <c r="J64">
        <v>2.58</v>
      </c>
      <c r="K64">
        <v>1608812</v>
      </c>
      <c r="L64" t="s">
        <v>20</v>
      </c>
      <c r="M64" t="s">
        <v>21</v>
      </c>
      <c r="N64" t="s">
        <v>22</v>
      </c>
    </row>
    <row r="65" spans="1:14" x14ac:dyDescent="0.3">
      <c r="A65" s="1">
        <v>45842</v>
      </c>
      <c r="B65" t="s">
        <v>31</v>
      </c>
      <c r="C65" t="s">
        <v>32</v>
      </c>
      <c r="D65" t="s">
        <v>33</v>
      </c>
      <c r="E65" t="s">
        <v>17</v>
      </c>
      <c r="F65" t="s">
        <v>18</v>
      </c>
      <c r="G65" t="s">
        <v>19</v>
      </c>
      <c r="H65">
        <v>426.49</v>
      </c>
      <c r="I65">
        <v>428.76</v>
      </c>
      <c r="J65">
        <v>0.53</v>
      </c>
      <c r="K65">
        <v>2023033</v>
      </c>
      <c r="L65" t="s">
        <v>20</v>
      </c>
      <c r="M65" t="s">
        <v>21</v>
      </c>
      <c r="N65" t="s">
        <v>22</v>
      </c>
    </row>
    <row r="66" spans="1:14" x14ac:dyDescent="0.3">
      <c r="A66" s="1">
        <v>45845</v>
      </c>
      <c r="B66" t="s">
        <v>31</v>
      </c>
      <c r="C66" t="s">
        <v>32</v>
      </c>
      <c r="D66" t="s">
        <v>33</v>
      </c>
      <c r="E66" t="s">
        <v>17</v>
      </c>
      <c r="F66" t="s">
        <v>18</v>
      </c>
      <c r="G66" t="s">
        <v>27</v>
      </c>
      <c r="H66">
        <v>428.76</v>
      </c>
      <c r="I66">
        <v>419.63</v>
      </c>
      <c r="J66">
        <v>-2.13</v>
      </c>
      <c r="K66">
        <v>2115404</v>
      </c>
      <c r="L66" t="s">
        <v>20</v>
      </c>
      <c r="M66" t="s">
        <v>21</v>
      </c>
      <c r="N66" t="s">
        <v>22</v>
      </c>
    </row>
    <row r="67" spans="1:14" x14ac:dyDescent="0.3">
      <c r="A67" s="1">
        <v>45846</v>
      </c>
      <c r="B67" t="s">
        <v>31</v>
      </c>
      <c r="C67" t="s">
        <v>32</v>
      </c>
      <c r="D67" t="s">
        <v>33</v>
      </c>
      <c r="E67" t="s">
        <v>17</v>
      </c>
      <c r="F67" t="s">
        <v>18</v>
      </c>
      <c r="G67" t="s">
        <v>19</v>
      </c>
      <c r="H67">
        <v>419.63</v>
      </c>
      <c r="I67">
        <v>422.44</v>
      </c>
      <c r="J67">
        <v>0.67</v>
      </c>
      <c r="K67">
        <v>4946198</v>
      </c>
      <c r="L67" t="s">
        <v>20</v>
      </c>
      <c r="M67" t="s">
        <v>21</v>
      </c>
      <c r="N67" t="s">
        <v>22</v>
      </c>
    </row>
    <row r="68" spans="1:14" x14ac:dyDescent="0.3">
      <c r="A68" s="1">
        <v>45847</v>
      </c>
      <c r="B68" t="s">
        <v>31</v>
      </c>
      <c r="C68" t="s">
        <v>32</v>
      </c>
      <c r="D68" t="s">
        <v>33</v>
      </c>
      <c r="E68" t="s">
        <v>17</v>
      </c>
      <c r="F68" t="s">
        <v>18</v>
      </c>
      <c r="G68" t="s">
        <v>29</v>
      </c>
      <c r="H68">
        <v>422.44</v>
      </c>
      <c r="I68">
        <v>432.72</v>
      </c>
      <c r="J68">
        <v>2.4300000000000002</v>
      </c>
      <c r="K68">
        <v>2685565</v>
      </c>
      <c r="L68" t="s">
        <v>20</v>
      </c>
      <c r="M68" t="s">
        <v>21</v>
      </c>
      <c r="N68" t="s">
        <v>22</v>
      </c>
    </row>
    <row r="69" spans="1:14" x14ac:dyDescent="0.3">
      <c r="A69" s="1">
        <v>45848</v>
      </c>
      <c r="B69" t="s">
        <v>31</v>
      </c>
      <c r="C69" t="s">
        <v>32</v>
      </c>
      <c r="D69" t="s">
        <v>33</v>
      </c>
      <c r="E69" t="s">
        <v>17</v>
      </c>
      <c r="F69" t="s">
        <v>18</v>
      </c>
      <c r="G69" t="s">
        <v>23</v>
      </c>
      <c r="H69">
        <v>432.72</v>
      </c>
      <c r="I69">
        <v>427.04</v>
      </c>
      <c r="J69">
        <v>-1.31</v>
      </c>
      <c r="K69">
        <v>2566557</v>
      </c>
      <c r="L69" t="s">
        <v>20</v>
      </c>
      <c r="M69" t="s">
        <v>21</v>
      </c>
      <c r="N69" t="s">
        <v>22</v>
      </c>
    </row>
    <row r="70" spans="1:14" x14ac:dyDescent="0.3">
      <c r="A70" s="1">
        <v>45849</v>
      </c>
      <c r="B70" t="s">
        <v>31</v>
      </c>
      <c r="C70" t="s">
        <v>32</v>
      </c>
      <c r="D70" t="s">
        <v>33</v>
      </c>
      <c r="E70" t="s">
        <v>17</v>
      </c>
      <c r="F70" t="s">
        <v>18</v>
      </c>
      <c r="G70" t="s">
        <v>27</v>
      </c>
      <c r="H70">
        <v>427.04</v>
      </c>
      <c r="I70">
        <v>422.64</v>
      </c>
      <c r="J70">
        <v>-1.03</v>
      </c>
      <c r="K70">
        <v>658535</v>
      </c>
      <c r="L70" t="s">
        <v>20</v>
      </c>
      <c r="M70" t="s">
        <v>21</v>
      </c>
      <c r="N70" t="s">
        <v>22</v>
      </c>
    </row>
    <row r="71" spans="1:14" x14ac:dyDescent="0.3">
      <c r="A71" s="1">
        <v>45852</v>
      </c>
      <c r="B71" t="s">
        <v>31</v>
      </c>
      <c r="C71" t="s">
        <v>32</v>
      </c>
      <c r="D71" t="s">
        <v>33</v>
      </c>
      <c r="E71" t="s">
        <v>17</v>
      </c>
      <c r="F71" t="s">
        <v>18</v>
      </c>
      <c r="G71" t="s">
        <v>19</v>
      </c>
      <c r="H71">
        <v>422.64</v>
      </c>
      <c r="I71">
        <v>421.66</v>
      </c>
      <c r="J71">
        <v>-0.23</v>
      </c>
      <c r="K71">
        <v>888703</v>
      </c>
      <c r="L71" t="s">
        <v>20</v>
      </c>
      <c r="M71" t="s">
        <v>21</v>
      </c>
      <c r="N71" t="s">
        <v>22</v>
      </c>
    </row>
    <row r="72" spans="1:14" x14ac:dyDescent="0.3">
      <c r="A72" s="1">
        <v>45853</v>
      </c>
      <c r="B72" t="s">
        <v>31</v>
      </c>
      <c r="C72" t="s">
        <v>32</v>
      </c>
      <c r="D72" t="s">
        <v>33</v>
      </c>
      <c r="E72" t="s">
        <v>17</v>
      </c>
      <c r="F72" t="s">
        <v>18</v>
      </c>
      <c r="G72" t="s">
        <v>19</v>
      </c>
      <c r="H72">
        <v>421.66</v>
      </c>
      <c r="I72">
        <v>422.55</v>
      </c>
      <c r="J72">
        <v>0.21</v>
      </c>
      <c r="K72">
        <v>1161126</v>
      </c>
      <c r="L72" t="s">
        <v>20</v>
      </c>
      <c r="M72" t="s">
        <v>21</v>
      </c>
      <c r="N72" t="s">
        <v>22</v>
      </c>
    </row>
    <row r="73" spans="1:14" x14ac:dyDescent="0.3">
      <c r="A73" s="1">
        <v>45854</v>
      </c>
      <c r="B73" t="s">
        <v>31</v>
      </c>
      <c r="C73" t="s">
        <v>32</v>
      </c>
      <c r="D73" t="s">
        <v>33</v>
      </c>
      <c r="E73" t="s">
        <v>17</v>
      </c>
      <c r="F73" t="s">
        <v>18</v>
      </c>
      <c r="G73" t="s">
        <v>29</v>
      </c>
      <c r="H73">
        <v>422.55</v>
      </c>
      <c r="I73">
        <v>431.56</v>
      </c>
      <c r="J73">
        <v>2.13</v>
      </c>
      <c r="K73">
        <v>3149817</v>
      </c>
      <c r="L73" t="s">
        <v>20</v>
      </c>
      <c r="M73" t="s">
        <v>21</v>
      </c>
      <c r="N73" t="s">
        <v>22</v>
      </c>
    </row>
    <row r="74" spans="1:14" x14ac:dyDescent="0.3">
      <c r="A74" s="1">
        <v>45855</v>
      </c>
      <c r="B74" t="s">
        <v>31</v>
      </c>
      <c r="C74" t="s">
        <v>32</v>
      </c>
      <c r="D74" t="s">
        <v>33</v>
      </c>
      <c r="E74" t="s">
        <v>17</v>
      </c>
      <c r="F74" t="s">
        <v>18</v>
      </c>
      <c r="G74" t="s">
        <v>29</v>
      </c>
      <c r="H74">
        <v>431.56</v>
      </c>
      <c r="I74">
        <v>423.29</v>
      </c>
      <c r="J74">
        <v>-1.92</v>
      </c>
      <c r="K74">
        <v>2587697</v>
      </c>
      <c r="L74" t="s">
        <v>20</v>
      </c>
      <c r="M74" t="s">
        <v>21</v>
      </c>
      <c r="N74" t="s">
        <v>22</v>
      </c>
    </row>
    <row r="75" spans="1:14" x14ac:dyDescent="0.3">
      <c r="A75" s="1">
        <v>45856</v>
      </c>
      <c r="B75" t="s">
        <v>31</v>
      </c>
      <c r="C75" t="s">
        <v>32</v>
      </c>
      <c r="D75" t="s">
        <v>33</v>
      </c>
      <c r="E75" t="s">
        <v>17</v>
      </c>
      <c r="F75" t="s">
        <v>18</v>
      </c>
      <c r="G75" t="s">
        <v>19</v>
      </c>
      <c r="H75">
        <v>423.29</v>
      </c>
      <c r="I75">
        <v>427.27</v>
      </c>
      <c r="J75">
        <v>0.94</v>
      </c>
      <c r="K75">
        <v>918946</v>
      </c>
      <c r="L75" t="s">
        <v>20</v>
      </c>
      <c r="M75" t="s">
        <v>21</v>
      </c>
      <c r="N75" t="s">
        <v>22</v>
      </c>
    </row>
    <row r="76" spans="1:14" x14ac:dyDescent="0.3">
      <c r="A76" s="1">
        <v>45859</v>
      </c>
      <c r="B76" t="s">
        <v>31</v>
      </c>
      <c r="C76" t="s">
        <v>32</v>
      </c>
      <c r="D76" t="s">
        <v>33</v>
      </c>
      <c r="E76" t="s">
        <v>17</v>
      </c>
      <c r="F76" t="s">
        <v>18</v>
      </c>
      <c r="G76" t="s">
        <v>23</v>
      </c>
      <c r="H76">
        <v>427.27</v>
      </c>
      <c r="I76">
        <v>421.63</v>
      </c>
      <c r="J76">
        <v>-1.32</v>
      </c>
      <c r="K76">
        <v>4690776</v>
      </c>
      <c r="L76" t="s">
        <v>20</v>
      </c>
      <c r="M76" t="s">
        <v>21</v>
      </c>
      <c r="N76" t="s">
        <v>22</v>
      </c>
    </row>
    <row r="77" spans="1:14" x14ac:dyDescent="0.3">
      <c r="A77" s="1">
        <v>45860</v>
      </c>
      <c r="B77" t="s">
        <v>31</v>
      </c>
      <c r="C77" t="s">
        <v>32</v>
      </c>
      <c r="D77" t="s">
        <v>33</v>
      </c>
      <c r="E77" t="s">
        <v>17</v>
      </c>
      <c r="F77" t="s">
        <v>18</v>
      </c>
      <c r="G77" t="s">
        <v>23</v>
      </c>
      <c r="H77">
        <v>421.63</v>
      </c>
      <c r="I77">
        <v>416.25</v>
      </c>
      <c r="J77">
        <v>-1.27</v>
      </c>
      <c r="K77">
        <v>2926288</v>
      </c>
      <c r="L77" t="s">
        <v>20</v>
      </c>
      <c r="M77" t="s">
        <v>21</v>
      </c>
      <c r="N77" t="s">
        <v>22</v>
      </c>
    </row>
    <row r="78" spans="1:14" x14ac:dyDescent="0.3">
      <c r="A78" s="1">
        <v>45861</v>
      </c>
      <c r="B78" t="s">
        <v>31</v>
      </c>
      <c r="C78" t="s">
        <v>32</v>
      </c>
      <c r="D78" t="s">
        <v>33</v>
      </c>
      <c r="E78" t="s">
        <v>17</v>
      </c>
      <c r="F78" t="s">
        <v>18</v>
      </c>
      <c r="G78" t="s">
        <v>23</v>
      </c>
      <c r="H78">
        <v>416.25</v>
      </c>
      <c r="I78">
        <v>420.63</v>
      </c>
      <c r="J78">
        <v>1.05</v>
      </c>
      <c r="K78">
        <v>4289678</v>
      </c>
      <c r="L78" t="s">
        <v>20</v>
      </c>
      <c r="M78" t="s">
        <v>21</v>
      </c>
      <c r="N78" t="s">
        <v>22</v>
      </c>
    </row>
    <row r="79" spans="1:14" x14ac:dyDescent="0.3">
      <c r="A79" s="1">
        <v>45862</v>
      </c>
      <c r="B79" t="s">
        <v>31</v>
      </c>
      <c r="C79" t="s">
        <v>32</v>
      </c>
      <c r="D79" t="s">
        <v>33</v>
      </c>
      <c r="E79" t="s">
        <v>17</v>
      </c>
      <c r="F79" t="s">
        <v>18</v>
      </c>
      <c r="G79" t="s">
        <v>27</v>
      </c>
      <c r="H79">
        <v>420.63</v>
      </c>
      <c r="I79">
        <v>414.76</v>
      </c>
      <c r="J79">
        <v>-1.39</v>
      </c>
      <c r="K79">
        <v>476132</v>
      </c>
      <c r="L79" t="s">
        <v>20</v>
      </c>
      <c r="M79" t="s">
        <v>21</v>
      </c>
      <c r="N79" t="s">
        <v>22</v>
      </c>
    </row>
    <row r="80" spans="1:14" x14ac:dyDescent="0.3">
      <c r="A80" s="1">
        <v>45863</v>
      </c>
      <c r="B80" t="s">
        <v>31</v>
      </c>
      <c r="C80" t="s">
        <v>32</v>
      </c>
      <c r="D80" t="s">
        <v>33</v>
      </c>
      <c r="E80" t="s">
        <v>17</v>
      </c>
      <c r="F80" t="s">
        <v>18</v>
      </c>
      <c r="G80" t="s">
        <v>19</v>
      </c>
      <c r="H80">
        <v>414.76</v>
      </c>
      <c r="I80">
        <v>417.88</v>
      </c>
      <c r="J80">
        <v>0.75</v>
      </c>
      <c r="K80">
        <v>419826</v>
      </c>
      <c r="L80" t="s">
        <v>20</v>
      </c>
      <c r="M80" t="s">
        <v>21</v>
      </c>
      <c r="N80" t="s">
        <v>22</v>
      </c>
    </row>
    <row r="81" spans="1:14" x14ac:dyDescent="0.3">
      <c r="A81" s="1">
        <v>45866</v>
      </c>
      <c r="B81" t="s">
        <v>31</v>
      </c>
      <c r="C81" t="s">
        <v>32</v>
      </c>
      <c r="D81" t="s">
        <v>33</v>
      </c>
      <c r="E81" t="s">
        <v>17</v>
      </c>
      <c r="F81" t="s">
        <v>18</v>
      </c>
      <c r="G81" t="s">
        <v>19</v>
      </c>
      <c r="H81">
        <v>417.88</v>
      </c>
      <c r="I81">
        <v>413.99</v>
      </c>
      <c r="J81">
        <v>-0.93</v>
      </c>
      <c r="K81">
        <v>2247440</v>
      </c>
      <c r="L81" t="s">
        <v>20</v>
      </c>
      <c r="M81" t="s">
        <v>21</v>
      </c>
      <c r="N81" t="s">
        <v>22</v>
      </c>
    </row>
    <row r="82" spans="1:14" x14ac:dyDescent="0.3">
      <c r="A82" s="1">
        <v>45867</v>
      </c>
      <c r="B82" t="s">
        <v>31</v>
      </c>
      <c r="C82" t="s">
        <v>32</v>
      </c>
      <c r="D82" t="s">
        <v>33</v>
      </c>
      <c r="E82" t="s">
        <v>17</v>
      </c>
      <c r="F82" t="s">
        <v>18</v>
      </c>
      <c r="G82" t="s">
        <v>23</v>
      </c>
      <c r="H82">
        <v>413.99</v>
      </c>
      <c r="I82">
        <v>419.58</v>
      </c>
      <c r="J82">
        <v>1.35</v>
      </c>
      <c r="K82">
        <v>3637697</v>
      </c>
      <c r="L82" t="s">
        <v>20</v>
      </c>
      <c r="M82" t="s">
        <v>21</v>
      </c>
      <c r="N82" t="s">
        <v>22</v>
      </c>
    </row>
    <row r="83" spans="1:14" x14ac:dyDescent="0.3">
      <c r="A83" s="1">
        <v>45868</v>
      </c>
      <c r="B83" t="s">
        <v>31</v>
      </c>
      <c r="C83" t="s">
        <v>32</v>
      </c>
      <c r="D83" t="s">
        <v>33</v>
      </c>
      <c r="E83" t="s">
        <v>17</v>
      </c>
      <c r="F83" t="s">
        <v>18</v>
      </c>
      <c r="G83" t="s">
        <v>19</v>
      </c>
      <c r="H83">
        <v>419.58</v>
      </c>
      <c r="I83">
        <v>410.46</v>
      </c>
      <c r="J83">
        <v>-2.17</v>
      </c>
      <c r="K83">
        <v>1300357</v>
      </c>
      <c r="L83" t="s">
        <v>20</v>
      </c>
      <c r="M83" t="s">
        <v>21</v>
      </c>
      <c r="N83" t="s">
        <v>22</v>
      </c>
    </row>
    <row r="84" spans="1:14" x14ac:dyDescent="0.3">
      <c r="A84" s="1">
        <v>45869</v>
      </c>
      <c r="B84" t="s">
        <v>31</v>
      </c>
      <c r="C84" t="s">
        <v>32</v>
      </c>
      <c r="D84" t="s">
        <v>33</v>
      </c>
      <c r="E84" t="s">
        <v>17</v>
      </c>
      <c r="F84" t="s">
        <v>18</v>
      </c>
      <c r="G84" t="s">
        <v>19</v>
      </c>
      <c r="H84">
        <v>410.46</v>
      </c>
      <c r="I84">
        <v>418.15</v>
      </c>
      <c r="J84">
        <v>1.87</v>
      </c>
      <c r="K84">
        <v>1292300</v>
      </c>
      <c r="L84" t="s">
        <v>20</v>
      </c>
      <c r="M84" t="s">
        <v>21</v>
      </c>
      <c r="N84" t="s">
        <v>22</v>
      </c>
    </row>
    <row r="85" spans="1:14" x14ac:dyDescent="0.3">
      <c r="A85" s="1">
        <v>45870</v>
      </c>
      <c r="B85" t="s">
        <v>31</v>
      </c>
      <c r="C85" t="s">
        <v>32</v>
      </c>
      <c r="D85" t="s">
        <v>33</v>
      </c>
      <c r="E85" t="s">
        <v>17</v>
      </c>
      <c r="F85" t="s">
        <v>18</v>
      </c>
      <c r="G85" t="s">
        <v>27</v>
      </c>
      <c r="H85">
        <v>418.15</v>
      </c>
      <c r="I85">
        <v>409.43</v>
      </c>
      <c r="J85">
        <v>-2.09</v>
      </c>
      <c r="K85">
        <v>384662</v>
      </c>
      <c r="L85" t="s">
        <v>20</v>
      </c>
      <c r="M85" t="s">
        <v>21</v>
      </c>
      <c r="N85" t="s">
        <v>22</v>
      </c>
    </row>
    <row r="86" spans="1:14" x14ac:dyDescent="0.3">
      <c r="A86" s="1">
        <v>45873</v>
      </c>
      <c r="B86" t="s">
        <v>31</v>
      </c>
      <c r="C86" t="s">
        <v>32</v>
      </c>
      <c r="D86" t="s">
        <v>33</v>
      </c>
      <c r="E86" t="s">
        <v>17</v>
      </c>
      <c r="F86" t="s">
        <v>18</v>
      </c>
      <c r="G86" t="s">
        <v>29</v>
      </c>
      <c r="H86">
        <v>409.43</v>
      </c>
      <c r="I86">
        <v>402.78</v>
      </c>
      <c r="J86">
        <v>-1.62</v>
      </c>
      <c r="K86">
        <v>912295</v>
      </c>
      <c r="L86" t="s">
        <v>20</v>
      </c>
      <c r="M86" t="s">
        <v>21</v>
      </c>
      <c r="N86" t="s">
        <v>22</v>
      </c>
    </row>
    <row r="87" spans="1:14" x14ac:dyDescent="0.3">
      <c r="A87" s="1">
        <v>45874</v>
      </c>
      <c r="B87" t="s">
        <v>31</v>
      </c>
      <c r="C87" t="s">
        <v>32</v>
      </c>
      <c r="D87" t="s">
        <v>33</v>
      </c>
      <c r="E87" t="s">
        <v>17</v>
      </c>
      <c r="F87" t="s">
        <v>18</v>
      </c>
      <c r="G87" t="s">
        <v>29</v>
      </c>
      <c r="H87">
        <v>402.78</v>
      </c>
      <c r="I87">
        <v>409.1</v>
      </c>
      <c r="J87">
        <v>1.57</v>
      </c>
      <c r="K87">
        <v>3458940</v>
      </c>
      <c r="L87" t="s">
        <v>20</v>
      </c>
      <c r="M87" t="s">
        <v>21</v>
      </c>
      <c r="N87" t="s">
        <v>22</v>
      </c>
    </row>
    <row r="88" spans="1:14" x14ac:dyDescent="0.3">
      <c r="A88" s="1">
        <v>45875</v>
      </c>
      <c r="B88" t="s">
        <v>31</v>
      </c>
      <c r="C88" t="s">
        <v>32</v>
      </c>
      <c r="D88" t="s">
        <v>33</v>
      </c>
      <c r="E88" t="s">
        <v>17</v>
      </c>
      <c r="F88" t="s">
        <v>18</v>
      </c>
      <c r="G88" t="s">
        <v>23</v>
      </c>
      <c r="H88">
        <v>409.1</v>
      </c>
      <c r="I88">
        <v>418.85</v>
      </c>
      <c r="J88">
        <v>2.38</v>
      </c>
      <c r="K88">
        <v>1413163</v>
      </c>
      <c r="L88" t="s">
        <v>20</v>
      </c>
      <c r="M88" t="s">
        <v>21</v>
      </c>
      <c r="N88" t="s">
        <v>22</v>
      </c>
    </row>
    <row r="89" spans="1:14" x14ac:dyDescent="0.3">
      <c r="A89" s="1">
        <v>45876</v>
      </c>
      <c r="B89" t="s">
        <v>31</v>
      </c>
      <c r="C89" t="s">
        <v>32</v>
      </c>
      <c r="D89" t="s">
        <v>33</v>
      </c>
      <c r="E89" t="s">
        <v>17</v>
      </c>
      <c r="F89" t="s">
        <v>18</v>
      </c>
      <c r="G89" t="s">
        <v>23</v>
      </c>
      <c r="H89">
        <v>418.85</v>
      </c>
      <c r="I89">
        <v>461.57</v>
      </c>
      <c r="J89">
        <v>10.199999999999999</v>
      </c>
      <c r="K89">
        <v>3503700</v>
      </c>
      <c r="L89" t="s">
        <v>24</v>
      </c>
      <c r="M89" t="s">
        <v>25</v>
      </c>
      <c r="N89" t="s">
        <v>26</v>
      </c>
    </row>
    <row r="90" spans="1:14" x14ac:dyDescent="0.3">
      <c r="A90" s="1">
        <v>45877</v>
      </c>
      <c r="B90" t="s">
        <v>31</v>
      </c>
      <c r="C90" t="s">
        <v>32</v>
      </c>
      <c r="D90" t="s">
        <v>33</v>
      </c>
      <c r="E90" t="s">
        <v>17</v>
      </c>
      <c r="F90" t="s">
        <v>18</v>
      </c>
      <c r="G90" t="s">
        <v>23</v>
      </c>
      <c r="H90">
        <v>461.57</v>
      </c>
      <c r="I90">
        <v>455.55</v>
      </c>
      <c r="J90">
        <v>-1.31</v>
      </c>
      <c r="K90">
        <v>956771</v>
      </c>
      <c r="L90" t="s">
        <v>20</v>
      </c>
      <c r="M90" t="s">
        <v>21</v>
      </c>
      <c r="N90" t="s">
        <v>22</v>
      </c>
    </row>
    <row r="91" spans="1:14" x14ac:dyDescent="0.3">
      <c r="A91" s="1">
        <v>45880</v>
      </c>
      <c r="B91" t="s">
        <v>31</v>
      </c>
      <c r="C91" t="s">
        <v>32</v>
      </c>
      <c r="D91" t="s">
        <v>33</v>
      </c>
      <c r="E91" t="s">
        <v>17</v>
      </c>
      <c r="F91" t="s">
        <v>18</v>
      </c>
      <c r="G91" t="s">
        <v>27</v>
      </c>
      <c r="H91">
        <v>455.55</v>
      </c>
      <c r="I91">
        <v>465.04</v>
      </c>
      <c r="J91">
        <v>2.08</v>
      </c>
      <c r="K91">
        <v>1915909</v>
      </c>
      <c r="L91" t="s">
        <v>20</v>
      </c>
      <c r="M91" t="s">
        <v>21</v>
      </c>
      <c r="N91" t="s">
        <v>22</v>
      </c>
    </row>
    <row r="92" spans="1:14" x14ac:dyDescent="0.3">
      <c r="A92" s="1">
        <v>45881</v>
      </c>
      <c r="B92" t="s">
        <v>31</v>
      </c>
      <c r="C92" t="s">
        <v>32</v>
      </c>
      <c r="D92" t="s">
        <v>33</v>
      </c>
      <c r="E92" t="s">
        <v>17</v>
      </c>
      <c r="F92" t="s">
        <v>18</v>
      </c>
      <c r="G92" t="s">
        <v>23</v>
      </c>
      <c r="H92">
        <v>465.04</v>
      </c>
      <c r="I92">
        <v>473.29</v>
      </c>
      <c r="J92">
        <v>1.77</v>
      </c>
      <c r="K92">
        <v>2610126</v>
      </c>
      <c r="L92" t="s">
        <v>20</v>
      </c>
      <c r="M92" t="s">
        <v>21</v>
      </c>
      <c r="N92" t="s">
        <v>22</v>
      </c>
    </row>
    <row r="93" spans="1:14" x14ac:dyDescent="0.3">
      <c r="A93" s="1">
        <v>45882</v>
      </c>
      <c r="B93" t="s">
        <v>31</v>
      </c>
      <c r="C93" t="s">
        <v>32</v>
      </c>
      <c r="D93" t="s">
        <v>33</v>
      </c>
      <c r="E93" t="s">
        <v>17</v>
      </c>
      <c r="F93" t="s">
        <v>18</v>
      </c>
      <c r="G93" t="s">
        <v>23</v>
      </c>
      <c r="H93">
        <v>473.29</v>
      </c>
      <c r="I93">
        <v>465.94</v>
      </c>
      <c r="J93">
        <v>-1.55</v>
      </c>
      <c r="K93">
        <v>3392574</v>
      </c>
      <c r="L93" t="s">
        <v>20</v>
      </c>
      <c r="M93" t="s">
        <v>21</v>
      </c>
      <c r="N93" t="s">
        <v>22</v>
      </c>
    </row>
    <row r="94" spans="1:14" x14ac:dyDescent="0.3">
      <c r="A94" s="1">
        <v>45883</v>
      </c>
      <c r="B94" t="s">
        <v>31</v>
      </c>
      <c r="C94" t="s">
        <v>32</v>
      </c>
      <c r="D94" t="s">
        <v>33</v>
      </c>
      <c r="E94" t="s">
        <v>17</v>
      </c>
      <c r="F94" t="s">
        <v>18</v>
      </c>
      <c r="G94" t="s">
        <v>29</v>
      </c>
      <c r="H94">
        <v>465.94</v>
      </c>
      <c r="I94">
        <v>460.17</v>
      </c>
      <c r="J94">
        <v>-1.24</v>
      </c>
      <c r="K94">
        <v>2391470</v>
      </c>
      <c r="L94" t="s">
        <v>20</v>
      </c>
      <c r="M94" t="s">
        <v>21</v>
      </c>
      <c r="N94" t="s">
        <v>22</v>
      </c>
    </row>
    <row r="95" spans="1:14" x14ac:dyDescent="0.3">
      <c r="A95" s="1">
        <v>45884</v>
      </c>
      <c r="B95" t="s">
        <v>31</v>
      </c>
      <c r="C95" t="s">
        <v>32</v>
      </c>
      <c r="D95" t="s">
        <v>33</v>
      </c>
      <c r="E95" t="s">
        <v>17</v>
      </c>
      <c r="F95" t="s">
        <v>18</v>
      </c>
      <c r="G95" t="s">
        <v>29</v>
      </c>
      <c r="H95">
        <v>460.17</v>
      </c>
      <c r="I95">
        <v>463.81</v>
      </c>
      <c r="J95">
        <v>0.79</v>
      </c>
      <c r="K95">
        <v>4548103</v>
      </c>
      <c r="L95" t="s">
        <v>20</v>
      </c>
      <c r="M95" t="s">
        <v>21</v>
      </c>
      <c r="N95" t="s">
        <v>22</v>
      </c>
    </row>
    <row r="96" spans="1:14" x14ac:dyDescent="0.3">
      <c r="A96" s="1">
        <v>45887</v>
      </c>
      <c r="B96" t="s">
        <v>31</v>
      </c>
      <c r="C96" t="s">
        <v>32</v>
      </c>
      <c r="D96" t="s">
        <v>33</v>
      </c>
      <c r="E96" t="s">
        <v>17</v>
      </c>
      <c r="F96" t="s">
        <v>18</v>
      </c>
      <c r="G96" t="s">
        <v>29</v>
      </c>
      <c r="H96">
        <v>463.81</v>
      </c>
      <c r="I96">
        <v>475.22</v>
      </c>
      <c r="J96">
        <v>2.46</v>
      </c>
      <c r="K96">
        <v>2241231</v>
      </c>
      <c r="L96" t="s">
        <v>20</v>
      </c>
      <c r="M96" t="s">
        <v>21</v>
      </c>
      <c r="N96" t="s">
        <v>22</v>
      </c>
    </row>
    <row r="97" spans="1:14" x14ac:dyDescent="0.3">
      <c r="A97" s="1">
        <v>45888</v>
      </c>
      <c r="B97" t="s">
        <v>31</v>
      </c>
      <c r="C97" t="s">
        <v>32</v>
      </c>
      <c r="D97" t="s">
        <v>33</v>
      </c>
      <c r="E97" t="s">
        <v>17</v>
      </c>
      <c r="F97" t="s">
        <v>18</v>
      </c>
      <c r="G97" t="s">
        <v>23</v>
      </c>
      <c r="H97">
        <v>475.22</v>
      </c>
      <c r="I97">
        <v>477.36</v>
      </c>
      <c r="J97">
        <v>0.45</v>
      </c>
      <c r="K97">
        <v>370924</v>
      </c>
      <c r="L97" t="s">
        <v>20</v>
      </c>
      <c r="M97" t="s">
        <v>21</v>
      </c>
      <c r="N97" t="s">
        <v>22</v>
      </c>
    </row>
    <row r="98" spans="1:14" x14ac:dyDescent="0.3">
      <c r="A98" s="1">
        <v>45889</v>
      </c>
      <c r="B98" t="s">
        <v>31</v>
      </c>
      <c r="C98" t="s">
        <v>32</v>
      </c>
      <c r="D98" t="s">
        <v>33</v>
      </c>
      <c r="E98" t="s">
        <v>17</v>
      </c>
      <c r="F98" t="s">
        <v>18</v>
      </c>
      <c r="G98" t="s">
        <v>19</v>
      </c>
      <c r="H98">
        <v>477.36</v>
      </c>
      <c r="I98">
        <v>479.95</v>
      </c>
      <c r="J98">
        <v>0.54</v>
      </c>
      <c r="K98">
        <v>2681316</v>
      </c>
      <c r="L98" t="s">
        <v>20</v>
      </c>
      <c r="M98" t="s">
        <v>21</v>
      </c>
      <c r="N98" t="s">
        <v>22</v>
      </c>
    </row>
    <row r="99" spans="1:14" x14ac:dyDescent="0.3">
      <c r="A99" s="1">
        <v>45890</v>
      </c>
      <c r="B99" t="s">
        <v>31</v>
      </c>
      <c r="C99" t="s">
        <v>32</v>
      </c>
      <c r="D99" t="s">
        <v>33</v>
      </c>
      <c r="E99" t="s">
        <v>17</v>
      </c>
      <c r="F99" t="s">
        <v>18</v>
      </c>
      <c r="G99" t="s">
        <v>27</v>
      </c>
      <c r="H99">
        <v>479.95</v>
      </c>
      <c r="I99">
        <v>482.8</v>
      </c>
      <c r="J99">
        <v>0.59</v>
      </c>
      <c r="K99">
        <v>3281253</v>
      </c>
      <c r="L99" t="s">
        <v>20</v>
      </c>
      <c r="M99" t="s">
        <v>21</v>
      </c>
      <c r="N99" t="s">
        <v>22</v>
      </c>
    </row>
    <row r="100" spans="1:14" x14ac:dyDescent="0.3">
      <c r="A100" s="1">
        <v>45891</v>
      </c>
      <c r="B100" t="s">
        <v>31</v>
      </c>
      <c r="C100" t="s">
        <v>32</v>
      </c>
      <c r="D100" t="s">
        <v>33</v>
      </c>
      <c r="E100" t="s">
        <v>17</v>
      </c>
      <c r="F100" t="s">
        <v>18</v>
      </c>
      <c r="G100" t="s">
        <v>23</v>
      </c>
      <c r="H100">
        <v>482.8</v>
      </c>
      <c r="I100">
        <v>476.17</v>
      </c>
      <c r="J100">
        <v>-1.37</v>
      </c>
      <c r="K100">
        <v>64187</v>
      </c>
      <c r="L100" t="s">
        <v>20</v>
      </c>
      <c r="M100" t="s">
        <v>21</v>
      </c>
      <c r="N100" t="s">
        <v>22</v>
      </c>
    </row>
    <row r="101" spans="1:14" x14ac:dyDescent="0.3">
      <c r="A101" s="1">
        <v>45894</v>
      </c>
      <c r="B101" t="s">
        <v>31</v>
      </c>
      <c r="C101" t="s">
        <v>32</v>
      </c>
      <c r="D101" t="s">
        <v>33</v>
      </c>
      <c r="E101" t="s">
        <v>17</v>
      </c>
      <c r="F101" t="s">
        <v>18</v>
      </c>
      <c r="G101" t="s">
        <v>23</v>
      </c>
      <c r="H101">
        <v>476.17</v>
      </c>
      <c r="I101">
        <v>472.55</v>
      </c>
      <c r="J101">
        <v>-0.76</v>
      </c>
      <c r="K101">
        <v>2819918</v>
      </c>
      <c r="L101" t="s">
        <v>20</v>
      </c>
      <c r="M101" t="s">
        <v>21</v>
      </c>
      <c r="N101" t="s">
        <v>22</v>
      </c>
    </row>
    <row r="102" spans="1:14" x14ac:dyDescent="0.3">
      <c r="A102" s="1">
        <v>45895</v>
      </c>
      <c r="B102" t="s">
        <v>31</v>
      </c>
      <c r="C102" t="s">
        <v>32</v>
      </c>
      <c r="D102" t="s">
        <v>33</v>
      </c>
      <c r="E102" t="s">
        <v>17</v>
      </c>
      <c r="F102" t="s">
        <v>18</v>
      </c>
      <c r="G102" t="s">
        <v>29</v>
      </c>
      <c r="H102">
        <v>472.55</v>
      </c>
      <c r="I102">
        <v>476.87</v>
      </c>
      <c r="J102">
        <v>0.91</v>
      </c>
      <c r="K102">
        <v>2569285</v>
      </c>
      <c r="L102" t="s">
        <v>20</v>
      </c>
      <c r="M102" t="s">
        <v>21</v>
      </c>
      <c r="N102" t="s">
        <v>22</v>
      </c>
    </row>
    <row r="103" spans="1:14" x14ac:dyDescent="0.3">
      <c r="A103" s="1">
        <v>45896</v>
      </c>
      <c r="B103" t="s">
        <v>31</v>
      </c>
      <c r="C103" t="s">
        <v>32</v>
      </c>
      <c r="D103" t="s">
        <v>33</v>
      </c>
      <c r="E103" t="s">
        <v>17</v>
      </c>
      <c r="F103" t="s">
        <v>18</v>
      </c>
      <c r="G103" t="s">
        <v>29</v>
      </c>
      <c r="H103">
        <v>476.87</v>
      </c>
      <c r="I103">
        <v>481.33</v>
      </c>
      <c r="J103">
        <v>0.93</v>
      </c>
      <c r="K103">
        <v>2530135</v>
      </c>
      <c r="L103" t="s">
        <v>20</v>
      </c>
      <c r="M103" t="s">
        <v>21</v>
      </c>
      <c r="N103" t="s">
        <v>22</v>
      </c>
    </row>
    <row r="104" spans="1:14" x14ac:dyDescent="0.3">
      <c r="A104" s="1">
        <v>45897</v>
      </c>
      <c r="B104" t="s">
        <v>31</v>
      </c>
      <c r="C104" t="s">
        <v>32</v>
      </c>
      <c r="D104" t="s">
        <v>33</v>
      </c>
      <c r="E104" t="s">
        <v>17</v>
      </c>
      <c r="F104" t="s">
        <v>18</v>
      </c>
      <c r="G104" t="s">
        <v>23</v>
      </c>
      <c r="H104">
        <v>481.33</v>
      </c>
      <c r="I104">
        <v>473.02</v>
      </c>
      <c r="J104">
        <v>-1.73</v>
      </c>
      <c r="K104">
        <v>3230501</v>
      </c>
      <c r="L104" t="s">
        <v>20</v>
      </c>
      <c r="M104" t="s">
        <v>21</v>
      </c>
      <c r="N104" t="s">
        <v>22</v>
      </c>
    </row>
    <row r="105" spans="1:14" x14ac:dyDescent="0.3">
      <c r="A105" s="1">
        <v>45898</v>
      </c>
      <c r="B105" t="s">
        <v>31</v>
      </c>
      <c r="C105" t="s">
        <v>32</v>
      </c>
      <c r="D105" t="s">
        <v>33</v>
      </c>
      <c r="E105" t="s">
        <v>17</v>
      </c>
      <c r="F105" t="s">
        <v>18</v>
      </c>
      <c r="G105" t="s">
        <v>23</v>
      </c>
      <c r="H105">
        <v>473.02</v>
      </c>
      <c r="I105">
        <v>476.08</v>
      </c>
      <c r="J105">
        <v>0.65</v>
      </c>
      <c r="K105">
        <v>4646430</v>
      </c>
      <c r="L105" t="s">
        <v>20</v>
      </c>
      <c r="M105" t="s">
        <v>21</v>
      </c>
      <c r="N105" t="s">
        <v>22</v>
      </c>
    </row>
    <row r="106" spans="1:14" x14ac:dyDescent="0.3">
      <c r="A106" s="1">
        <v>45901</v>
      </c>
      <c r="B106" t="s">
        <v>31</v>
      </c>
      <c r="C106" t="s">
        <v>32</v>
      </c>
      <c r="D106" t="s">
        <v>33</v>
      </c>
      <c r="E106" t="s">
        <v>17</v>
      </c>
      <c r="F106" t="s">
        <v>18</v>
      </c>
      <c r="G106" t="s">
        <v>19</v>
      </c>
      <c r="H106">
        <v>476.08</v>
      </c>
      <c r="I106">
        <v>470.85</v>
      </c>
      <c r="J106">
        <v>-1.1000000000000001</v>
      </c>
      <c r="K106">
        <v>4915264</v>
      </c>
      <c r="L106" t="s">
        <v>20</v>
      </c>
      <c r="M106" t="s">
        <v>21</v>
      </c>
      <c r="N106" t="s">
        <v>22</v>
      </c>
    </row>
    <row r="107" spans="1:14" x14ac:dyDescent="0.3">
      <c r="A107" s="1">
        <v>45902</v>
      </c>
      <c r="B107" t="s">
        <v>31</v>
      </c>
      <c r="C107" t="s">
        <v>32</v>
      </c>
      <c r="D107" t="s">
        <v>33</v>
      </c>
      <c r="E107" t="s">
        <v>17</v>
      </c>
      <c r="F107" t="s">
        <v>18</v>
      </c>
      <c r="G107" t="s">
        <v>29</v>
      </c>
      <c r="H107">
        <v>470.85</v>
      </c>
      <c r="I107">
        <v>469.93</v>
      </c>
      <c r="J107">
        <v>-0.2</v>
      </c>
      <c r="K107">
        <v>1842657</v>
      </c>
      <c r="L107" t="s">
        <v>20</v>
      </c>
      <c r="M107" t="s">
        <v>21</v>
      </c>
      <c r="N107" t="s">
        <v>22</v>
      </c>
    </row>
    <row r="108" spans="1:14" x14ac:dyDescent="0.3">
      <c r="A108" s="1">
        <v>45903</v>
      </c>
      <c r="B108" t="s">
        <v>31</v>
      </c>
      <c r="C108" t="s">
        <v>32</v>
      </c>
      <c r="D108" t="s">
        <v>33</v>
      </c>
      <c r="E108" t="s">
        <v>17</v>
      </c>
      <c r="F108" t="s">
        <v>18</v>
      </c>
      <c r="G108" t="s">
        <v>27</v>
      </c>
      <c r="H108">
        <v>469.93</v>
      </c>
      <c r="I108">
        <v>477.66</v>
      </c>
      <c r="J108">
        <v>1.64</v>
      </c>
      <c r="K108">
        <v>1473474</v>
      </c>
      <c r="L108" t="s">
        <v>20</v>
      </c>
      <c r="M108" t="s">
        <v>21</v>
      </c>
      <c r="N108" t="s">
        <v>22</v>
      </c>
    </row>
    <row r="109" spans="1:14" x14ac:dyDescent="0.3">
      <c r="A109" s="1">
        <v>45904</v>
      </c>
      <c r="B109" t="s">
        <v>31</v>
      </c>
      <c r="C109" t="s">
        <v>32</v>
      </c>
      <c r="D109" t="s">
        <v>33</v>
      </c>
      <c r="E109" t="s">
        <v>17</v>
      </c>
      <c r="F109" t="s">
        <v>18</v>
      </c>
      <c r="G109" t="s">
        <v>19</v>
      </c>
      <c r="H109">
        <v>477.66</v>
      </c>
      <c r="I109">
        <v>471.88</v>
      </c>
      <c r="J109">
        <v>-1.21</v>
      </c>
      <c r="K109">
        <v>2861762</v>
      </c>
      <c r="L109" t="s">
        <v>20</v>
      </c>
      <c r="M109" t="s">
        <v>21</v>
      </c>
      <c r="N109" t="s">
        <v>22</v>
      </c>
    </row>
    <row r="110" spans="1:14" x14ac:dyDescent="0.3">
      <c r="A110" s="1">
        <v>45905</v>
      </c>
      <c r="B110" t="s">
        <v>31</v>
      </c>
      <c r="C110" t="s">
        <v>32</v>
      </c>
      <c r="D110" t="s">
        <v>33</v>
      </c>
      <c r="E110" t="s">
        <v>17</v>
      </c>
      <c r="F110" t="s">
        <v>18</v>
      </c>
      <c r="G110" t="s">
        <v>19</v>
      </c>
      <c r="H110">
        <v>471.88</v>
      </c>
      <c r="I110">
        <v>480.29</v>
      </c>
      <c r="J110">
        <v>1.78</v>
      </c>
      <c r="K110">
        <v>2653987</v>
      </c>
      <c r="L110" t="s">
        <v>20</v>
      </c>
      <c r="M110" t="s">
        <v>21</v>
      </c>
      <c r="N110" t="s">
        <v>22</v>
      </c>
    </row>
    <row r="111" spans="1:14" x14ac:dyDescent="0.3">
      <c r="A111" s="1">
        <v>45908</v>
      </c>
      <c r="B111" t="s">
        <v>31</v>
      </c>
      <c r="C111" t="s">
        <v>32</v>
      </c>
      <c r="D111" t="s">
        <v>33</v>
      </c>
      <c r="E111" t="s">
        <v>17</v>
      </c>
      <c r="F111" t="s">
        <v>18</v>
      </c>
      <c r="G111" t="s">
        <v>23</v>
      </c>
      <c r="H111">
        <v>480.29</v>
      </c>
      <c r="I111">
        <v>488.54</v>
      </c>
      <c r="J111">
        <v>1.72</v>
      </c>
      <c r="K111">
        <v>437668</v>
      </c>
      <c r="L111" t="s">
        <v>20</v>
      </c>
      <c r="M111" t="s">
        <v>21</v>
      </c>
      <c r="N111" t="s">
        <v>22</v>
      </c>
    </row>
    <row r="112" spans="1:14" x14ac:dyDescent="0.3">
      <c r="A112" s="1">
        <v>45909</v>
      </c>
      <c r="B112" t="s">
        <v>31</v>
      </c>
      <c r="C112" t="s">
        <v>32</v>
      </c>
      <c r="D112" t="s">
        <v>33</v>
      </c>
      <c r="E112" t="s">
        <v>17</v>
      </c>
      <c r="F112" t="s">
        <v>18</v>
      </c>
      <c r="G112" t="s">
        <v>23</v>
      </c>
      <c r="H112">
        <v>488.54</v>
      </c>
      <c r="I112">
        <v>501.78</v>
      </c>
      <c r="J112">
        <v>2.71</v>
      </c>
      <c r="K112">
        <v>660927</v>
      </c>
      <c r="L112" t="s">
        <v>20</v>
      </c>
      <c r="M112" t="s">
        <v>21</v>
      </c>
      <c r="N112" t="s">
        <v>22</v>
      </c>
    </row>
    <row r="113" spans="1:14" x14ac:dyDescent="0.3">
      <c r="A113" s="1">
        <v>45910</v>
      </c>
      <c r="B113" t="s">
        <v>31</v>
      </c>
      <c r="C113" t="s">
        <v>32</v>
      </c>
      <c r="D113" t="s">
        <v>33</v>
      </c>
      <c r="E113" t="s">
        <v>17</v>
      </c>
      <c r="F113" t="s">
        <v>18</v>
      </c>
      <c r="G113" t="s">
        <v>27</v>
      </c>
      <c r="H113">
        <v>501.78</v>
      </c>
      <c r="I113">
        <v>499.37</v>
      </c>
      <c r="J113">
        <v>-0.48</v>
      </c>
      <c r="K113">
        <v>1681040</v>
      </c>
      <c r="L113" t="s">
        <v>20</v>
      </c>
      <c r="M113" t="s">
        <v>21</v>
      </c>
      <c r="N113" t="s">
        <v>22</v>
      </c>
    </row>
    <row r="114" spans="1:14" x14ac:dyDescent="0.3">
      <c r="A114" s="1">
        <v>45911</v>
      </c>
      <c r="B114" t="s">
        <v>31</v>
      </c>
      <c r="C114" t="s">
        <v>32</v>
      </c>
      <c r="D114" t="s">
        <v>33</v>
      </c>
      <c r="E114" t="s">
        <v>17</v>
      </c>
      <c r="F114" t="s">
        <v>18</v>
      </c>
      <c r="G114" t="s">
        <v>27</v>
      </c>
      <c r="H114">
        <v>499.37</v>
      </c>
      <c r="I114">
        <v>499.22</v>
      </c>
      <c r="J114">
        <v>-0.03</v>
      </c>
      <c r="K114">
        <v>96513</v>
      </c>
      <c r="L114" t="s">
        <v>20</v>
      </c>
      <c r="M114" t="s">
        <v>21</v>
      </c>
      <c r="N114" t="s">
        <v>22</v>
      </c>
    </row>
    <row r="115" spans="1:14" x14ac:dyDescent="0.3">
      <c r="A115" s="1">
        <v>45912</v>
      </c>
      <c r="B115" t="s">
        <v>31</v>
      </c>
      <c r="C115" t="s">
        <v>32</v>
      </c>
      <c r="D115" t="s">
        <v>33</v>
      </c>
      <c r="E115" t="s">
        <v>17</v>
      </c>
      <c r="F115" t="s">
        <v>18</v>
      </c>
      <c r="G115" t="s">
        <v>19</v>
      </c>
      <c r="H115">
        <v>499.22</v>
      </c>
      <c r="I115">
        <v>507</v>
      </c>
      <c r="J115">
        <v>1.56</v>
      </c>
      <c r="K115">
        <v>4394944</v>
      </c>
      <c r="L115" t="s">
        <v>20</v>
      </c>
      <c r="M115" t="s">
        <v>21</v>
      </c>
      <c r="N115" t="s">
        <v>22</v>
      </c>
    </row>
    <row r="116" spans="1:14" x14ac:dyDescent="0.3">
      <c r="A116" s="1">
        <v>45915</v>
      </c>
      <c r="B116" t="s">
        <v>31</v>
      </c>
      <c r="C116" t="s">
        <v>32</v>
      </c>
      <c r="D116" t="s">
        <v>33</v>
      </c>
      <c r="E116" t="s">
        <v>17</v>
      </c>
      <c r="F116" t="s">
        <v>18</v>
      </c>
      <c r="G116" t="s">
        <v>27</v>
      </c>
      <c r="H116">
        <v>507</v>
      </c>
      <c r="I116">
        <v>494.23</v>
      </c>
      <c r="J116">
        <v>-2.52</v>
      </c>
      <c r="K116">
        <v>1068029</v>
      </c>
      <c r="L116" t="s">
        <v>20</v>
      </c>
      <c r="M116" t="s">
        <v>21</v>
      </c>
      <c r="N116" t="s">
        <v>22</v>
      </c>
    </row>
    <row r="117" spans="1:14" x14ac:dyDescent="0.3">
      <c r="A117" s="1">
        <v>45916</v>
      </c>
      <c r="B117" t="s">
        <v>31</v>
      </c>
      <c r="C117" t="s">
        <v>32</v>
      </c>
      <c r="D117" t="s">
        <v>33</v>
      </c>
      <c r="E117" t="s">
        <v>17</v>
      </c>
      <c r="F117" t="s">
        <v>18</v>
      </c>
      <c r="G117" t="s">
        <v>27</v>
      </c>
      <c r="H117">
        <v>494.23</v>
      </c>
      <c r="I117">
        <v>484.08</v>
      </c>
      <c r="J117">
        <v>-2.0499999999999998</v>
      </c>
      <c r="K117">
        <v>4505457</v>
      </c>
      <c r="L117" t="s">
        <v>20</v>
      </c>
      <c r="M117" t="s">
        <v>21</v>
      </c>
      <c r="N117" t="s">
        <v>22</v>
      </c>
    </row>
    <row r="118" spans="1:14" x14ac:dyDescent="0.3">
      <c r="A118" s="1">
        <v>45917</v>
      </c>
      <c r="B118" t="s">
        <v>31</v>
      </c>
      <c r="C118" t="s">
        <v>32</v>
      </c>
      <c r="D118" t="s">
        <v>33</v>
      </c>
      <c r="E118" t="s">
        <v>17</v>
      </c>
      <c r="F118" t="s">
        <v>18</v>
      </c>
      <c r="G118" t="s">
        <v>29</v>
      </c>
      <c r="H118">
        <v>484.08</v>
      </c>
      <c r="I118">
        <v>496.28</v>
      </c>
      <c r="J118">
        <v>2.52</v>
      </c>
      <c r="K118">
        <v>4284386</v>
      </c>
      <c r="L118" t="s">
        <v>20</v>
      </c>
      <c r="M118" t="s">
        <v>21</v>
      </c>
      <c r="N118" t="s">
        <v>22</v>
      </c>
    </row>
    <row r="119" spans="1:14" x14ac:dyDescent="0.3">
      <c r="A119" s="1">
        <v>45918</v>
      </c>
      <c r="B119" t="s">
        <v>31</v>
      </c>
      <c r="C119" t="s">
        <v>32</v>
      </c>
      <c r="D119" t="s">
        <v>33</v>
      </c>
      <c r="E119" t="s">
        <v>17</v>
      </c>
      <c r="F119" t="s">
        <v>18</v>
      </c>
      <c r="G119" t="s">
        <v>27</v>
      </c>
      <c r="H119">
        <v>496.28</v>
      </c>
      <c r="I119">
        <v>505.47</v>
      </c>
      <c r="J119">
        <v>1.85</v>
      </c>
      <c r="K119">
        <v>1385113</v>
      </c>
      <c r="L119" t="s">
        <v>20</v>
      </c>
      <c r="M119" t="s">
        <v>21</v>
      </c>
      <c r="N119" t="s">
        <v>22</v>
      </c>
    </row>
    <row r="120" spans="1:14" x14ac:dyDescent="0.3">
      <c r="A120" s="1">
        <v>45919</v>
      </c>
      <c r="B120" t="s">
        <v>31</v>
      </c>
      <c r="C120" t="s">
        <v>32</v>
      </c>
      <c r="D120" t="s">
        <v>33</v>
      </c>
      <c r="E120" t="s">
        <v>17</v>
      </c>
      <c r="F120" t="s">
        <v>18</v>
      </c>
      <c r="G120" t="s">
        <v>27</v>
      </c>
      <c r="H120">
        <v>505.47</v>
      </c>
      <c r="I120">
        <v>504.05</v>
      </c>
      <c r="J120">
        <v>-0.28000000000000003</v>
      </c>
      <c r="K120">
        <v>2376256</v>
      </c>
      <c r="L120" t="s">
        <v>20</v>
      </c>
      <c r="M120" t="s">
        <v>21</v>
      </c>
      <c r="N120" t="s">
        <v>22</v>
      </c>
    </row>
    <row r="121" spans="1:14" x14ac:dyDescent="0.3">
      <c r="A121" s="1">
        <v>45922</v>
      </c>
      <c r="B121" t="s">
        <v>31</v>
      </c>
      <c r="C121" t="s">
        <v>32</v>
      </c>
      <c r="D121" t="s">
        <v>33</v>
      </c>
      <c r="E121" t="s">
        <v>17</v>
      </c>
      <c r="F121" t="s">
        <v>18</v>
      </c>
      <c r="G121" t="s">
        <v>27</v>
      </c>
      <c r="H121">
        <v>504.05</v>
      </c>
      <c r="I121">
        <v>507.63</v>
      </c>
      <c r="J121">
        <v>0.71</v>
      </c>
      <c r="K121">
        <v>699977</v>
      </c>
      <c r="L121" t="s">
        <v>20</v>
      </c>
      <c r="M121" t="s">
        <v>21</v>
      </c>
      <c r="N121" t="s">
        <v>22</v>
      </c>
    </row>
    <row r="122" spans="1:14" x14ac:dyDescent="0.3">
      <c r="A122" s="1">
        <v>45839</v>
      </c>
      <c r="B122" t="s">
        <v>34</v>
      </c>
      <c r="C122" t="s">
        <v>35</v>
      </c>
      <c r="D122" t="s">
        <v>36</v>
      </c>
      <c r="E122" t="s">
        <v>17</v>
      </c>
      <c r="F122" t="s">
        <v>18</v>
      </c>
      <c r="G122" t="s">
        <v>29</v>
      </c>
      <c r="H122">
        <v>195</v>
      </c>
      <c r="I122">
        <v>192.1</v>
      </c>
      <c r="J122">
        <v>-1.49</v>
      </c>
      <c r="K122">
        <v>4581125</v>
      </c>
      <c r="L122" t="s">
        <v>20</v>
      </c>
      <c r="M122" t="s">
        <v>21</v>
      </c>
      <c r="N122" t="s">
        <v>22</v>
      </c>
    </row>
    <row r="123" spans="1:14" x14ac:dyDescent="0.3">
      <c r="A123" s="1">
        <v>45840</v>
      </c>
      <c r="B123" t="s">
        <v>34</v>
      </c>
      <c r="C123" t="s">
        <v>35</v>
      </c>
      <c r="D123" t="s">
        <v>36</v>
      </c>
      <c r="E123" t="s">
        <v>17</v>
      </c>
      <c r="F123" t="s">
        <v>18</v>
      </c>
      <c r="G123" t="s">
        <v>19</v>
      </c>
      <c r="H123">
        <v>192.1</v>
      </c>
      <c r="I123">
        <v>188.21</v>
      </c>
      <c r="J123">
        <v>-2.0299999999999998</v>
      </c>
      <c r="K123">
        <v>1331823</v>
      </c>
      <c r="L123" t="s">
        <v>20</v>
      </c>
      <c r="M123" t="s">
        <v>21</v>
      </c>
      <c r="N123" t="s">
        <v>22</v>
      </c>
    </row>
    <row r="124" spans="1:14" x14ac:dyDescent="0.3">
      <c r="A124" s="1">
        <v>45841</v>
      </c>
      <c r="B124" t="s">
        <v>34</v>
      </c>
      <c r="C124" t="s">
        <v>35</v>
      </c>
      <c r="D124" t="s">
        <v>36</v>
      </c>
      <c r="E124" t="s">
        <v>17</v>
      </c>
      <c r="F124" t="s">
        <v>18</v>
      </c>
      <c r="G124" t="s">
        <v>23</v>
      </c>
      <c r="H124">
        <v>188.21</v>
      </c>
      <c r="I124">
        <v>183.62</v>
      </c>
      <c r="J124">
        <v>-2.44</v>
      </c>
      <c r="K124">
        <v>4601752</v>
      </c>
      <c r="L124" t="s">
        <v>20</v>
      </c>
      <c r="M124" t="s">
        <v>21</v>
      </c>
      <c r="N124" t="s">
        <v>22</v>
      </c>
    </row>
    <row r="125" spans="1:14" x14ac:dyDescent="0.3">
      <c r="A125" s="1">
        <v>45842</v>
      </c>
      <c r="B125" t="s">
        <v>34</v>
      </c>
      <c r="C125" t="s">
        <v>35</v>
      </c>
      <c r="D125" t="s">
        <v>36</v>
      </c>
      <c r="E125" t="s">
        <v>17</v>
      </c>
      <c r="F125" t="s">
        <v>18</v>
      </c>
      <c r="G125" t="s">
        <v>27</v>
      </c>
      <c r="H125">
        <v>183.62</v>
      </c>
      <c r="I125">
        <v>182.75</v>
      </c>
      <c r="J125">
        <v>-0.47</v>
      </c>
      <c r="K125">
        <v>3574419</v>
      </c>
      <c r="L125" t="s">
        <v>20</v>
      </c>
      <c r="M125" t="s">
        <v>21</v>
      </c>
      <c r="N125" t="s">
        <v>22</v>
      </c>
    </row>
    <row r="126" spans="1:14" x14ac:dyDescent="0.3">
      <c r="A126" s="1">
        <v>45845</v>
      </c>
      <c r="B126" t="s">
        <v>34</v>
      </c>
      <c r="C126" t="s">
        <v>35</v>
      </c>
      <c r="D126" t="s">
        <v>36</v>
      </c>
      <c r="E126" t="s">
        <v>17</v>
      </c>
      <c r="F126" t="s">
        <v>18</v>
      </c>
      <c r="G126" t="s">
        <v>27</v>
      </c>
      <c r="H126">
        <v>182.75</v>
      </c>
      <c r="I126">
        <v>186.89</v>
      </c>
      <c r="J126">
        <v>2.27</v>
      </c>
      <c r="K126">
        <v>213845</v>
      </c>
      <c r="L126" t="s">
        <v>20</v>
      </c>
      <c r="M126" t="s">
        <v>21</v>
      </c>
      <c r="N126" t="s">
        <v>22</v>
      </c>
    </row>
    <row r="127" spans="1:14" x14ac:dyDescent="0.3">
      <c r="A127" s="1">
        <v>45846</v>
      </c>
      <c r="B127" t="s">
        <v>34</v>
      </c>
      <c r="C127" t="s">
        <v>35</v>
      </c>
      <c r="D127" t="s">
        <v>36</v>
      </c>
      <c r="E127" t="s">
        <v>17</v>
      </c>
      <c r="F127" t="s">
        <v>18</v>
      </c>
      <c r="G127" t="s">
        <v>27</v>
      </c>
      <c r="H127">
        <v>186.89</v>
      </c>
      <c r="I127">
        <v>186.65</v>
      </c>
      <c r="J127">
        <v>-0.13</v>
      </c>
      <c r="K127">
        <v>2554944</v>
      </c>
      <c r="L127" t="s">
        <v>20</v>
      </c>
      <c r="M127" t="s">
        <v>21</v>
      </c>
      <c r="N127" t="s">
        <v>22</v>
      </c>
    </row>
    <row r="128" spans="1:14" x14ac:dyDescent="0.3">
      <c r="A128" s="1">
        <v>45847</v>
      </c>
      <c r="B128" t="s">
        <v>34</v>
      </c>
      <c r="C128" t="s">
        <v>35</v>
      </c>
      <c r="D128" t="s">
        <v>36</v>
      </c>
      <c r="E128" t="s">
        <v>17</v>
      </c>
      <c r="F128" t="s">
        <v>18</v>
      </c>
      <c r="G128" t="s">
        <v>27</v>
      </c>
      <c r="H128">
        <v>186.65</v>
      </c>
      <c r="I128">
        <v>190.35</v>
      </c>
      <c r="J128">
        <v>1.98</v>
      </c>
      <c r="K128">
        <v>3565005</v>
      </c>
      <c r="L128" t="s">
        <v>20</v>
      </c>
      <c r="M128" t="s">
        <v>21</v>
      </c>
      <c r="N128" t="s">
        <v>22</v>
      </c>
    </row>
    <row r="129" spans="1:14" x14ac:dyDescent="0.3">
      <c r="A129" s="1">
        <v>45848</v>
      </c>
      <c r="B129" t="s">
        <v>34</v>
      </c>
      <c r="C129" t="s">
        <v>35</v>
      </c>
      <c r="D129" t="s">
        <v>36</v>
      </c>
      <c r="E129" t="s">
        <v>17</v>
      </c>
      <c r="F129" t="s">
        <v>18</v>
      </c>
      <c r="G129" t="s">
        <v>23</v>
      </c>
      <c r="H129">
        <v>190.35</v>
      </c>
      <c r="I129">
        <v>190.22</v>
      </c>
      <c r="J129">
        <v>-7.0000000000000007E-2</v>
      </c>
      <c r="K129">
        <v>4123860</v>
      </c>
      <c r="L129" t="s">
        <v>20</v>
      </c>
      <c r="M129" t="s">
        <v>21</v>
      </c>
      <c r="N129" t="s">
        <v>22</v>
      </c>
    </row>
    <row r="130" spans="1:14" x14ac:dyDescent="0.3">
      <c r="A130" s="1">
        <v>45849</v>
      </c>
      <c r="B130" t="s">
        <v>34</v>
      </c>
      <c r="C130" t="s">
        <v>35</v>
      </c>
      <c r="D130" t="s">
        <v>36</v>
      </c>
      <c r="E130" t="s">
        <v>17</v>
      </c>
      <c r="F130" t="s">
        <v>18</v>
      </c>
      <c r="G130" t="s">
        <v>19</v>
      </c>
      <c r="H130">
        <v>190.22</v>
      </c>
      <c r="I130">
        <v>189.04</v>
      </c>
      <c r="J130">
        <v>-0.62</v>
      </c>
      <c r="K130">
        <v>3441654</v>
      </c>
      <c r="L130" t="s">
        <v>20</v>
      </c>
      <c r="M130" t="s">
        <v>21</v>
      </c>
      <c r="N130" t="s">
        <v>22</v>
      </c>
    </row>
    <row r="131" spans="1:14" x14ac:dyDescent="0.3">
      <c r="A131" s="1">
        <v>45852</v>
      </c>
      <c r="B131" t="s">
        <v>34</v>
      </c>
      <c r="C131" t="s">
        <v>35</v>
      </c>
      <c r="D131" t="s">
        <v>36</v>
      </c>
      <c r="E131" t="s">
        <v>17</v>
      </c>
      <c r="F131" t="s">
        <v>18</v>
      </c>
      <c r="G131" t="s">
        <v>23</v>
      </c>
      <c r="H131">
        <v>189.04</v>
      </c>
      <c r="I131">
        <v>192.64</v>
      </c>
      <c r="J131">
        <v>1.91</v>
      </c>
      <c r="K131">
        <v>4530553</v>
      </c>
      <c r="L131" t="s">
        <v>20</v>
      </c>
      <c r="M131" t="s">
        <v>21</v>
      </c>
      <c r="N131" t="s">
        <v>22</v>
      </c>
    </row>
    <row r="132" spans="1:14" x14ac:dyDescent="0.3">
      <c r="A132" s="1">
        <v>45853</v>
      </c>
      <c r="B132" t="s">
        <v>34</v>
      </c>
      <c r="C132" t="s">
        <v>35</v>
      </c>
      <c r="D132" t="s">
        <v>36</v>
      </c>
      <c r="E132" t="s">
        <v>17</v>
      </c>
      <c r="F132" t="s">
        <v>18</v>
      </c>
      <c r="G132" t="s">
        <v>19</v>
      </c>
      <c r="H132">
        <v>192.64</v>
      </c>
      <c r="I132">
        <v>197.03</v>
      </c>
      <c r="J132">
        <v>2.2799999999999998</v>
      </c>
      <c r="K132">
        <v>277348</v>
      </c>
      <c r="L132" t="s">
        <v>20</v>
      </c>
      <c r="M132" t="s">
        <v>21</v>
      </c>
      <c r="N132" t="s">
        <v>22</v>
      </c>
    </row>
    <row r="133" spans="1:14" x14ac:dyDescent="0.3">
      <c r="A133" s="1">
        <v>45854</v>
      </c>
      <c r="B133" t="s">
        <v>34</v>
      </c>
      <c r="C133" t="s">
        <v>35</v>
      </c>
      <c r="D133" t="s">
        <v>36</v>
      </c>
      <c r="E133" t="s">
        <v>17</v>
      </c>
      <c r="F133" t="s">
        <v>18</v>
      </c>
      <c r="G133" t="s">
        <v>19</v>
      </c>
      <c r="H133">
        <v>197.03</v>
      </c>
      <c r="I133">
        <v>198.61</v>
      </c>
      <c r="J133">
        <v>0.8</v>
      </c>
      <c r="K133">
        <v>3923007</v>
      </c>
      <c r="L133" t="s">
        <v>20</v>
      </c>
      <c r="M133" t="s">
        <v>21</v>
      </c>
      <c r="N133" t="s">
        <v>22</v>
      </c>
    </row>
    <row r="134" spans="1:14" x14ac:dyDescent="0.3">
      <c r="A134" s="1">
        <v>45855</v>
      </c>
      <c r="B134" t="s">
        <v>34</v>
      </c>
      <c r="C134" t="s">
        <v>35</v>
      </c>
      <c r="D134" t="s">
        <v>36</v>
      </c>
      <c r="E134" t="s">
        <v>17</v>
      </c>
      <c r="F134" t="s">
        <v>18</v>
      </c>
      <c r="G134" t="s">
        <v>23</v>
      </c>
      <c r="H134">
        <v>198.61</v>
      </c>
      <c r="I134">
        <v>193.61</v>
      </c>
      <c r="J134">
        <v>-2.52</v>
      </c>
      <c r="K134">
        <v>1825535</v>
      </c>
      <c r="L134" t="s">
        <v>20</v>
      </c>
      <c r="M134" t="s">
        <v>21</v>
      </c>
      <c r="N134" t="s">
        <v>22</v>
      </c>
    </row>
    <row r="135" spans="1:14" x14ac:dyDescent="0.3">
      <c r="A135" s="1">
        <v>45856</v>
      </c>
      <c r="B135" t="s">
        <v>34</v>
      </c>
      <c r="C135" t="s">
        <v>35</v>
      </c>
      <c r="D135" t="s">
        <v>36</v>
      </c>
      <c r="E135" t="s">
        <v>17</v>
      </c>
      <c r="F135" t="s">
        <v>18</v>
      </c>
      <c r="G135" t="s">
        <v>27</v>
      </c>
      <c r="H135">
        <v>193.61</v>
      </c>
      <c r="I135">
        <v>191.73</v>
      </c>
      <c r="J135">
        <v>-0.97</v>
      </c>
      <c r="K135">
        <v>3230341</v>
      </c>
      <c r="L135" t="s">
        <v>20</v>
      </c>
      <c r="M135" t="s">
        <v>21</v>
      </c>
      <c r="N135" t="s">
        <v>22</v>
      </c>
    </row>
    <row r="136" spans="1:14" x14ac:dyDescent="0.3">
      <c r="A136" s="1">
        <v>45859</v>
      </c>
      <c r="B136" t="s">
        <v>34</v>
      </c>
      <c r="C136" t="s">
        <v>35</v>
      </c>
      <c r="D136" t="s">
        <v>36</v>
      </c>
      <c r="E136" t="s">
        <v>17</v>
      </c>
      <c r="F136" t="s">
        <v>18</v>
      </c>
      <c r="G136" t="s">
        <v>29</v>
      </c>
      <c r="H136">
        <v>191.73</v>
      </c>
      <c r="I136">
        <v>194.44</v>
      </c>
      <c r="J136">
        <v>1.41</v>
      </c>
      <c r="K136">
        <v>2166206</v>
      </c>
      <c r="L136" t="s">
        <v>20</v>
      </c>
      <c r="M136" t="s">
        <v>21</v>
      </c>
      <c r="N136" t="s">
        <v>22</v>
      </c>
    </row>
    <row r="137" spans="1:14" x14ac:dyDescent="0.3">
      <c r="A137" s="1">
        <v>45860</v>
      </c>
      <c r="B137" t="s">
        <v>34</v>
      </c>
      <c r="C137" t="s">
        <v>35</v>
      </c>
      <c r="D137" t="s">
        <v>36</v>
      </c>
      <c r="E137" t="s">
        <v>17</v>
      </c>
      <c r="F137" t="s">
        <v>18</v>
      </c>
      <c r="G137" t="s">
        <v>19</v>
      </c>
      <c r="H137">
        <v>194.44</v>
      </c>
      <c r="I137">
        <v>194.11</v>
      </c>
      <c r="J137">
        <v>-0.17</v>
      </c>
      <c r="K137">
        <v>486925</v>
      </c>
      <c r="L137" t="s">
        <v>20</v>
      </c>
      <c r="M137" t="s">
        <v>21</v>
      </c>
      <c r="N137" t="s">
        <v>22</v>
      </c>
    </row>
    <row r="138" spans="1:14" x14ac:dyDescent="0.3">
      <c r="A138" s="1">
        <v>45861</v>
      </c>
      <c r="B138" t="s">
        <v>34</v>
      </c>
      <c r="C138" t="s">
        <v>35</v>
      </c>
      <c r="D138" t="s">
        <v>36</v>
      </c>
      <c r="E138" t="s">
        <v>17</v>
      </c>
      <c r="F138" t="s">
        <v>18</v>
      </c>
      <c r="G138" t="s">
        <v>29</v>
      </c>
      <c r="H138">
        <v>194.11</v>
      </c>
      <c r="I138">
        <v>191.11</v>
      </c>
      <c r="J138">
        <v>-1.54</v>
      </c>
      <c r="K138">
        <v>387709</v>
      </c>
      <c r="L138" t="s">
        <v>20</v>
      </c>
      <c r="M138" t="s">
        <v>21</v>
      </c>
      <c r="N138" t="s">
        <v>22</v>
      </c>
    </row>
    <row r="139" spans="1:14" x14ac:dyDescent="0.3">
      <c r="A139" s="1">
        <v>45862</v>
      </c>
      <c r="B139" t="s">
        <v>34</v>
      </c>
      <c r="C139" t="s">
        <v>35</v>
      </c>
      <c r="D139" t="s">
        <v>36</v>
      </c>
      <c r="E139" t="s">
        <v>17</v>
      </c>
      <c r="F139" t="s">
        <v>18</v>
      </c>
      <c r="G139" t="s">
        <v>19</v>
      </c>
      <c r="H139">
        <v>191.11</v>
      </c>
      <c r="I139">
        <v>195.93</v>
      </c>
      <c r="J139">
        <v>2.52</v>
      </c>
      <c r="K139">
        <v>220959</v>
      </c>
      <c r="L139" t="s">
        <v>20</v>
      </c>
      <c r="M139" t="s">
        <v>21</v>
      </c>
      <c r="N139" t="s">
        <v>22</v>
      </c>
    </row>
    <row r="140" spans="1:14" x14ac:dyDescent="0.3">
      <c r="A140" s="1">
        <v>45863</v>
      </c>
      <c r="B140" t="s">
        <v>34</v>
      </c>
      <c r="C140" t="s">
        <v>35</v>
      </c>
      <c r="D140" t="s">
        <v>36</v>
      </c>
      <c r="E140" t="s">
        <v>17</v>
      </c>
      <c r="F140" t="s">
        <v>18</v>
      </c>
      <c r="G140" t="s">
        <v>23</v>
      </c>
      <c r="H140">
        <v>195.93</v>
      </c>
      <c r="I140">
        <v>193.06</v>
      </c>
      <c r="J140">
        <v>-1.46</v>
      </c>
      <c r="K140">
        <v>1009568</v>
      </c>
      <c r="L140" t="s">
        <v>20</v>
      </c>
      <c r="M140" t="s">
        <v>21</v>
      </c>
      <c r="N140" t="s">
        <v>22</v>
      </c>
    </row>
    <row r="141" spans="1:14" x14ac:dyDescent="0.3">
      <c r="A141" s="1">
        <v>45866</v>
      </c>
      <c r="B141" t="s">
        <v>34</v>
      </c>
      <c r="C141" t="s">
        <v>35</v>
      </c>
      <c r="D141" t="s">
        <v>36</v>
      </c>
      <c r="E141" t="s">
        <v>17</v>
      </c>
      <c r="F141" t="s">
        <v>18</v>
      </c>
      <c r="G141" t="s">
        <v>23</v>
      </c>
      <c r="H141">
        <v>193.06</v>
      </c>
      <c r="I141">
        <v>192.68</v>
      </c>
      <c r="J141">
        <v>-0.2</v>
      </c>
      <c r="K141">
        <v>3144517</v>
      </c>
      <c r="L141" t="s">
        <v>20</v>
      </c>
      <c r="M141" t="s">
        <v>21</v>
      </c>
      <c r="N141" t="s">
        <v>22</v>
      </c>
    </row>
    <row r="142" spans="1:14" x14ac:dyDescent="0.3">
      <c r="A142" s="1">
        <v>45867</v>
      </c>
      <c r="B142" t="s">
        <v>34</v>
      </c>
      <c r="C142" t="s">
        <v>35</v>
      </c>
      <c r="D142" t="s">
        <v>36</v>
      </c>
      <c r="E142" t="s">
        <v>17</v>
      </c>
      <c r="F142" t="s">
        <v>18</v>
      </c>
      <c r="G142" t="s">
        <v>23</v>
      </c>
      <c r="H142">
        <v>192.68</v>
      </c>
      <c r="I142">
        <v>193.82</v>
      </c>
      <c r="J142">
        <v>0.59</v>
      </c>
      <c r="K142">
        <v>1010771</v>
      </c>
      <c r="L142" t="s">
        <v>20</v>
      </c>
      <c r="M142" t="s">
        <v>21</v>
      </c>
      <c r="N142" t="s">
        <v>22</v>
      </c>
    </row>
    <row r="143" spans="1:14" x14ac:dyDescent="0.3">
      <c r="A143" s="1">
        <v>45868</v>
      </c>
      <c r="B143" t="s">
        <v>34</v>
      </c>
      <c r="C143" t="s">
        <v>35</v>
      </c>
      <c r="D143" t="s">
        <v>36</v>
      </c>
      <c r="E143" t="s">
        <v>17</v>
      </c>
      <c r="F143" t="s">
        <v>18</v>
      </c>
      <c r="G143" t="s">
        <v>23</v>
      </c>
      <c r="H143">
        <v>193.82</v>
      </c>
      <c r="I143">
        <v>198.87</v>
      </c>
      <c r="J143">
        <v>2.6</v>
      </c>
      <c r="K143">
        <v>265406</v>
      </c>
      <c r="L143" t="s">
        <v>20</v>
      </c>
      <c r="M143" t="s">
        <v>21</v>
      </c>
      <c r="N143" t="s">
        <v>22</v>
      </c>
    </row>
    <row r="144" spans="1:14" x14ac:dyDescent="0.3">
      <c r="A144" s="1">
        <v>45869</v>
      </c>
      <c r="B144" t="s">
        <v>34</v>
      </c>
      <c r="C144" t="s">
        <v>35</v>
      </c>
      <c r="D144" t="s">
        <v>36</v>
      </c>
      <c r="E144" t="s">
        <v>17</v>
      </c>
      <c r="F144" t="s">
        <v>18</v>
      </c>
      <c r="G144" t="s">
        <v>29</v>
      </c>
      <c r="H144">
        <v>198.87</v>
      </c>
      <c r="I144">
        <v>199.71</v>
      </c>
      <c r="J144">
        <v>0.42</v>
      </c>
      <c r="K144">
        <v>3198302</v>
      </c>
      <c r="L144" t="s">
        <v>20</v>
      </c>
      <c r="M144" t="s">
        <v>21</v>
      </c>
      <c r="N144" t="s">
        <v>22</v>
      </c>
    </row>
    <row r="145" spans="1:14" x14ac:dyDescent="0.3">
      <c r="A145" s="1">
        <v>45870</v>
      </c>
      <c r="B145" t="s">
        <v>34</v>
      </c>
      <c r="C145" t="s">
        <v>35</v>
      </c>
      <c r="D145" t="s">
        <v>36</v>
      </c>
      <c r="E145" t="s">
        <v>17</v>
      </c>
      <c r="F145" t="s">
        <v>18</v>
      </c>
      <c r="G145" t="s">
        <v>27</v>
      </c>
      <c r="H145">
        <v>199.71</v>
      </c>
      <c r="I145">
        <v>204.65</v>
      </c>
      <c r="J145">
        <v>2.4700000000000002</v>
      </c>
      <c r="K145">
        <v>2087168</v>
      </c>
      <c r="L145" t="s">
        <v>20</v>
      </c>
      <c r="M145" t="s">
        <v>21</v>
      </c>
      <c r="N145" t="s">
        <v>22</v>
      </c>
    </row>
    <row r="146" spans="1:14" x14ac:dyDescent="0.3">
      <c r="A146" s="1">
        <v>45873</v>
      </c>
      <c r="B146" t="s">
        <v>34</v>
      </c>
      <c r="C146" t="s">
        <v>35</v>
      </c>
      <c r="D146" t="s">
        <v>36</v>
      </c>
      <c r="E146" t="s">
        <v>17</v>
      </c>
      <c r="F146" t="s">
        <v>18</v>
      </c>
      <c r="G146" t="s">
        <v>19</v>
      </c>
      <c r="H146">
        <v>204.65</v>
      </c>
      <c r="I146">
        <v>206.91</v>
      </c>
      <c r="J146">
        <v>1.1000000000000001</v>
      </c>
      <c r="K146">
        <v>1065483</v>
      </c>
      <c r="L146" t="s">
        <v>20</v>
      </c>
      <c r="M146" t="s">
        <v>21</v>
      </c>
      <c r="N146" t="s">
        <v>22</v>
      </c>
    </row>
    <row r="147" spans="1:14" x14ac:dyDescent="0.3">
      <c r="A147" s="1">
        <v>45874</v>
      </c>
      <c r="B147" t="s">
        <v>34</v>
      </c>
      <c r="C147" t="s">
        <v>35</v>
      </c>
      <c r="D147" t="s">
        <v>36</v>
      </c>
      <c r="E147" t="s">
        <v>17</v>
      </c>
      <c r="F147" t="s">
        <v>18</v>
      </c>
      <c r="G147" t="s">
        <v>19</v>
      </c>
      <c r="H147">
        <v>206.91</v>
      </c>
      <c r="I147">
        <v>205.14</v>
      </c>
      <c r="J147">
        <v>-0.86</v>
      </c>
      <c r="K147">
        <v>3158573</v>
      </c>
      <c r="L147" t="s">
        <v>20</v>
      </c>
      <c r="M147" t="s">
        <v>21</v>
      </c>
      <c r="N147" t="s">
        <v>22</v>
      </c>
    </row>
    <row r="148" spans="1:14" x14ac:dyDescent="0.3">
      <c r="A148" s="1">
        <v>45875</v>
      </c>
      <c r="B148" t="s">
        <v>34</v>
      </c>
      <c r="C148" t="s">
        <v>35</v>
      </c>
      <c r="D148" t="s">
        <v>36</v>
      </c>
      <c r="E148" t="s">
        <v>17</v>
      </c>
      <c r="F148" t="s">
        <v>18</v>
      </c>
      <c r="G148" t="s">
        <v>19</v>
      </c>
      <c r="H148">
        <v>205.14</v>
      </c>
      <c r="I148">
        <v>205.21</v>
      </c>
      <c r="J148">
        <v>0.03</v>
      </c>
      <c r="K148">
        <v>3573708</v>
      </c>
      <c r="L148" t="s">
        <v>20</v>
      </c>
      <c r="M148" t="s">
        <v>21</v>
      </c>
      <c r="N148" t="s">
        <v>22</v>
      </c>
    </row>
    <row r="149" spans="1:14" x14ac:dyDescent="0.3">
      <c r="A149" s="1">
        <v>45876</v>
      </c>
      <c r="B149" t="s">
        <v>34</v>
      </c>
      <c r="C149" t="s">
        <v>35</v>
      </c>
      <c r="D149" t="s">
        <v>36</v>
      </c>
      <c r="E149" t="s">
        <v>17</v>
      </c>
      <c r="F149" t="s">
        <v>18</v>
      </c>
      <c r="G149" t="s">
        <v>27</v>
      </c>
      <c r="H149">
        <v>205.21</v>
      </c>
      <c r="I149">
        <v>200.67</v>
      </c>
      <c r="J149">
        <v>-2.21</v>
      </c>
      <c r="K149">
        <v>3906573</v>
      </c>
      <c r="L149" t="s">
        <v>20</v>
      </c>
      <c r="M149" t="s">
        <v>21</v>
      </c>
      <c r="N149" t="s">
        <v>22</v>
      </c>
    </row>
    <row r="150" spans="1:14" x14ac:dyDescent="0.3">
      <c r="A150" s="1">
        <v>45877</v>
      </c>
      <c r="B150" t="s">
        <v>34</v>
      </c>
      <c r="C150" t="s">
        <v>35</v>
      </c>
      <c r="D150" t="s">
        <v>36</v>
      </c>
      <c r="E150" t="s">
        <v>17</v>
      </c>
      <c r="F150" t="s">
        <v>18</v>
      </c>
      <c r="G150" t="s">
        <v>23</v>
      </c>
      <c r="H150">
        <v>200.67</v>
      </c>
      <c r="I150">
        <v>199.95</v>
      </c>
      <c r="J150">
        <v>-0.36</v>
      </c>
      <c r="K150">
        <v>2315615</v>
      </c>
      <c r="L150" t="s">
        <v>20</v>
      </c>
      <c r="M150" t="s">
        <v>21</v>
      </c>
      <c r="N150" t="s">
        <v>22</v>
      </c>
    </row>
    <row r="151" spans="1:14" x14ac:dyDescent="0.3">
      <c r="A151" s="1">
        <v>45880</v>
      </c>
      <c r="B151" t="s">
        <v>34</v>
      </c>
      <c r="C151" t="s">
        <v>35</v>
      </c>
      <c r="D151" t="s">
        <v>36</v>
      </c>
      <c r="E151" t="s">
        <v>17</v>
      </c>
      <c r="F151" t="s">
        <v>18</v>
      </c>
      <c r="G151" t="s">
        <v>27</v>
      </c>
      <c r="H151">
        <v>199.95</v>
      </c>
      <c r="I151">
        <v>199.55</v>
      </c>
      <c r="J151">
        <v>-0.2</v>
      </c>
      <c r="K151">
        <v>2301464</v>
      </c>
      <c r="L151" t="s">
        <v>20</v>
      </c>
      <c r="M151" t="s">
        <v>21</v>
      </c>
      <c r="N151" t="s">
        <v>22</v>
      </c>
    </row>
    <row r="152" spans="1:14" x14ac:dyDescent="0.3">
      <c r="A152" s="1">
        <v>45881</v>
      </c>
      <c r="B152" t="s">
        <v>34</v>
      </c>
      <c r="C152" t="s">
        <v>35</v>
      </c>
      <c r="D152" t="s">
        <v>36</v>
      </c>
      <c r="E152" t="s">
        <v>17</v>
      </c>
      <c r="F152" t="s">
        <v>18</v>
      </c>
      <c r="G152" t="s">
        <v>29</v>
      </c>
      <c r="H152">
        <v>199.55</v>
      </c>
      <c r="I152">
        <v>203.48</v>
      </c>
      <c r="J152">
        <v>1.97</v>
      </c>
      <c r="K152">
        <v>776981</v>
      </c>
      <c r="L152" t="s">
        <v>20</v>
      </c>
      <c r="M152" t="s">
        <v>21</v>
      </c>
      <c r="N152" t="s">
        <v>22</v>
      </c>
    </row>
    <row r="153" spans="1:14" x14ac:dyDescent="0.3">
      <c r="A153" s="1">
        <v>45882</v>
      </c>
      <c r="B153" t="s">
        <v>34</v>
      </c>
      <c r="C153" t="s">
        <v>35</v>
      </c>
      <c r="D153" t="s">
        <v>36</v>
      </c>
      <c r="E153" t="s">
        <v>17</v>
      </c>
      <c r="F153" t="s">
        <v>18</v>
      </c>
      <c r="G153" t="s">
        <v>29</v>
      </c>
      <c r="H153">
        <v>203.48</v>
      </c>
      <c r="I153">
        <v>207.83</v>
      </c>
      <c r="J153">
        <v>2.14</v>
      </c>
      <c r="K153">
        <v>3948257</v>
      </c>
      <c r="L153" t="s">
        <v>20</v>
      </c>
      <c r="M153" t="s">
        <v>21</v>
      </c>
      <c r="N153" t="s">
        <v>22</v>
      </c>
    </row>
    <row r="154" spans="1:14" x14ac:dyDescent="0.3">
      <c r="A154" s="1">
        <v>45883</v>
      </c>
      <c r="B154" t="s">
        <v>34</v>
      </c>
      <c r="C154" t="s">
        <v>35</v>
      </c>
      <c r="D154" t="s">
        <v>36</v>
      </c>
      <c r="E154" t="s">
        <v>17</v>
      </c>
      <c r="F154" t="s">
        <v>18</v>
      </c>
      <c r="G154" t="s">
        <v>27</v>
      </c>
      <c r="H154">
        <v>207.83</v>
      </c>
      <c r="I154">
        <v>205.93</v>
      </c>
      <c r="J154">
        <v>-0.92</v>
      </c>
      <c r="K154">
        <v>2776416</v>
      </c>
      <c r="L154" t="s">
        <v>20</v>
      </c>
      <c r="M154" t="s">
        <v>21</v>
      </c>
      <c r="N154" t="s">
        <v>22</v>
      </c>
    </row>
    <row r="155" spans="1:14" x14ac:dyDescent="0.3">
      <c r="A155" s="1">
        <v>45884</v>
      </c>
      <c r="B155" t="s">
        <v>34</v>
      </c>
      <c r="C155" t="s">
        <v>35</v>
      </c>
      <c r="D155" t="s">
        <v>36</v>
      </c>
      <c r="E155" t="s">
        <v>17</v>
      </c>
      <c r="F155" t="s">
        <v>18</v>
      </c>
      <c r="G155" t="s">
        <v>23</v>
      </c>
      <c r="H155">
        <v>205.93</v>
      </c>
      <c r="I155">
        <v>205.79</v>
      </c>
      <c r="J155">
        <v>-7.0000000000000007E-2</v>
      </c>
      <c r="K155">
        <v>2217217</v>
      </c>
      <c r="L155" t="s">
        <v>20</v>
      </c>
      <c r="M155" t="s">
        <v>21</v>
      </c>
      <c r="N155" t="s">
        <v>22</v>
      </c>
    </row>
    <row r="156" spans="1:14" x14ac:dyDescent="0.3">
      <c r="A156" s="1">
        <v>45887</v>
      </c>
      <c r="B156" t="s">
        <v>34</v>
      </c>
      <c r="C156" t="s">
        <v>35</v>
      </c>
      <c r="D156" t="s">
        <v>36</v>
      </c>
      <c r="E156" t="s">
        <v>17</v>
      </c>
      <c r="F156" t="s">
        <v>18</v>
      </c>
      <c r="G156" t="s">
        <v>29</v>
      </c>
      <c r="H156">
        <v>205.79</v>
      </c>
      <c r="I156">
        <v>203.25</v>
      </c>
      <c r="J156">
        <v>-1.23</v>
      </c>
      <c r="K156">
        <v>2367508</v>
      </c>
      <c r="L156" t="s">
        <v>20</v>
      </c>
      <c r="M156" t="s">
        <v>21</v>
      </c>
      <c r="N156" t="s">
        <v>22</v>
      </c>
    </row>
    <row r="157" spans="1:14" x14ac:dyDescent="0.3">
      <c r="A157" s="1">
        <v>45888</v>
      </c>
      <c r="B157" t="s">
        <v>34</v>
      </c>
      <c r="C157" t="s">
        <v>35</v>
      </c>
      <c r="D157" t="s">
        <v>36</v>
      </c>
      <c r="E157" t="s">
        <v>17</v>
      </c>
      <c r="F157" t="s">
        <v>18</v>
      </c>
      <c r="G157" t="s">
        <v>19</v>
      </c>
      <c r="H157">
        <v>203.25</v>
      </c>
      <c r="I157">
        <v>203.44</v>
      </c>
      <c r="J157">
        <v>0.09</v>
      </c>
      <c r="K157">
        <v>2074641</v>
      </c>
      <c r="L157" t="s">
        <v>20</v>
      </c>
      <c r="M157" t="s">
        <v>21</v>
      </c>
      <c r="N157" t="s">
        <v>22</v>
      </c>
    </row>
    <row r="158" spans="1:14" x14ac:dyDescent="0.3">
      <c r="A158" s="1">
        <v>45889</v>
      </c>
      <c r="B158" t="s">
        <v>34</v>
      </c>
      <c r="C158" t="s">
        <v>35</v>
      </c>
      <c r="D158" t="s">
        <v>36</v>
      </c>
      <c r="E158" t="s">
        <v>17</v>
      </c>
      <c r="F158" t="s">
        <v>18</v>
      </c>
      <c r="G158" t="s">
        <v>27</v>
      </c>
      <c r="H158">
        <v>203.44</v>
      </c>
      <c r="I158">
        <v>203.31</v>
      </c>
      <c r="J158">
        <v>-0.06</v>
      </c>
      <c r="K158">
        <v>4043758</v>
      </c>
      <c r="L158" t="s">
        <v>20</v>
      </c>
      <c r="M158" t="s">
        <v>21</v>
      </c>
      <c r="N158" t="s">
        <v>22</v>
      </c>
    </row>
    <row r="159" spans="1:14" x14ac:dyDescent="0.3">
      <c r="A159" s="1">
        <v>45890</v>
      </c>
      <c r="B159" t="s">
        <v>34</v>
      </c>
      <c r="C159" t="s">
        <v>35</v>
      </c>
      <c r="D159" t="s">
        <v>36</v>
      </c>
      <c r="E159" t="s">
        <v>17</v>
      </c>
      <c r="F159" t="s">
        <v>18</v>
      </c>
      <c r="G159" t="s">
        <v>27</v>
      </c>
      <c r="H159">
        <v>203.31</v>
      </c>
      <c r="I159">
        <v>224.04</v>
      </c>
      <c r="J159">
        <v>10.199999999999999</v>
      </c>
      <c r="K159">
        <v>1908885</v>
      </c>
      <c r="L159" t="s">
        <v>24</v>
      </c>
      <c r="M159" t="s">
        <v>25</v>
      </c>
      <c r="N159" t="s">
        <v>26</v>
      </c>
    </row>
    <row r="160" spans="1:14" x14ac:dyDescent="0.3">
      <c r="A160" s="1">
        <v>45891</v>
      </c>
      <c r="B160" t="s">
        <v>34</v>
      </c>
      <c r="C160" t="s">
        <v>35</v>
      </c>
      <c r="D160" t="s">
        <v>36</v>
      </c>
      <c r="E160" t="s">
        <v>17</v>
      </c>
      <c r="F160" t="s">
        <v>18</v>
      </c>
      <c r="G160" t="s">
        <v>27</v>
      </c>
      <c r="H160">
        <v>224.04</v>
      </c>
      <c r="I160">
        <v>226.45</v>
      </c>
      <c r="J160">
        <v>1.07</v>
      </c>
      <c r="K160">
        <v>4928441</v>
      </c>
      <c r="L160" t="s">
        <v>20</v>
      </c>
      <c r="M160" t="s">
        <v>21</v>
      </c>
      <c r="N160" t="s">
        <v>22</v>
      </c>
    </row>
    <row r="161" spans="1:14" x14ac:dyDescent="0.3">
      <c r="A161" s="1">
        <v>45894</v>
      </c>
      <c r="B161" t="s">
        <v>34</v>
      </c>
      <c r="C161" t="s">
        <v>35</v>
      </c>
      <c r="D161" t="s">
        <v>36</v>
      </c>
      <c r="E161" t="s">
        <v>17</v>
      </c>
      <c r="F161" t="s">
        <v>18</v>
      </c>
      <c r="G161" t="s">
        <v>29</v>
      </c>
      <c r="H161">
        <v>226.45</v>
      </c>
      <c r="I161">
        <v>226.11</v>
      </c>
      <c r="J161">
        <v>-0.15</v>
      </c>
      <c r="K161">
        <v>3619384</v>
      </c>
      <c r="L161" t="s">
        <v>20</v>
      </c>
      <c r="M161" t="s">
        <v>21</v>
      </c>
      <c r="N161" t="s">
        <v>22</v>
      </c>
    </row>
    <row r="162" spans="1:14" x14ac:dyDescent="0.3">
      <c r="A162" s="1">
        <v>45895</v>
      </c>
      <c r="B162" t="s">
        <v>34</v>
      </c>
      <c r="C162" t="s">
        <v>35</v>
      </c>
      <c r="D162" t="s">
        <v>36</v>
      </c>
      <c r="E162" t="s">
        <v>17</v>
      </c>
      <c r="F162" t="s">
        <v>18</v>
      </c>
      <c r="G162" t="s">
        <v>29</v>
      </c>
      <c r="H162">
        <v>226.11</v>
      </c>
      <c r="I162">
        <v>224.23</v>
      </c>
      <c r="J162">
        <v>-0.83</v>
      </c>
      <c r="K162">
        <v>2622140</v>
      </c>
      <c r="L162" t="s">
        <v>20</v>
      </c>
      <c r="M162" t="s">
        <v>21</v>
      </c>
      <c r="N162" t="s">
        <v>22</v>
      </c>
    </row>
    <row r="163" spans="1:14" x14ac:dyDescent="0.3">
      <c r="A163" s="1">
        <v>45896</v>
      </c>
      <c r="B163" t="s">
        <v>34</v>
      </c>
      <c r="C163" t="s">
        <v>35</v>
      </c>
      <c r="D163" t="s">
        <v>36</v>
      </c>
      <c r="E163" t="s">
        <v>17</v>
      </c>
      <c r="F163" t="s">
        <v>18</v>
      </c>
      <c r="G163" t="s">
        <v>29</v>
      </c>
      <c r="H163">
        <v>224.23</v>
      </c>
      <c r="I163">
        <v>220.85</v>
      </c>
      <c r="J163">
        <v>-1.51</v>
      </c>
      <c r="K163">
        <v>2697008</v>
      </c>
      <c r="L163" t="s">
        <v>20</v>
      </c>
      <c r="M163" t="s">
        <v>21</v>
      </c>
      <c r="N163" t="s">
        <v>22</v>
      </c>
    </row>
    <row r="164" spans="1:14" x14ac:dyDescent="0.3">
      <c r="A164" s="1">
        <v>45897</v>
      </c>
      <c r="B164" t="s">
        <v>34</v>
      </c>
      <c r="C164" t="s">
        <v>35</v>
      </c>
      <c r="D164" t="s">
        <v>36</v>
      </c>
      <c r="E164" t="s">
        <v>17</v>
      </c>
      <c r="F164" t="s">
        <v>18</v>
      </c>
      <c r="G164" t="s">
        <v>19</v>
      </c>
      <c r="H164">
        <v>220.85</v>
      </c>
      <c r="I164">
        <v>223.85</v>
      </c>
      <c r="J164">
        <v>1.36</v>
      </c>
      <c r="K164">
        <v>1603149</v>
      </c>
      <c r="L164" t="s">
        <v>20</v>
      </c>
      <c r="M164" t="s">
        <v>21</v>
      </c>
      <c r="N164" t="s">
        <v>22</v>
      </c>
    </row>
    <row r="165" spans="1:14" x14ac:dyDescent="0.3">
      <c r="A165" s="1">
        <v>45898</v>
      </c>
      <c r="B165" t="s">
        <v>34</v>
      </c>
      <c r="C165" t="s">
        <v>35</v>
      </c>
      <c r="D165" t="s">
        <v>36</v>
      </c>
      <c r="E165" t="s">
        <v>17</v>
      </c>
      <c r="F165" t="s">
        <v>18</v>
      </c>
      <c r="G165" t="s">
        <v>23</v>
      </c>
      <c r="H165">
        <v>223.85</v>
      </c>
      <c r="I165">
        <v>220.3</v>
      </c>
      <c r="J165">
        <v>-1.59</v>
      </c>
      <c r="K165">
        <v>4995813</v>
      </c>
      <c r="L165" t="s">
        <v>20</v>
      </c>
      <c r="M165" t="s">
        <v>21</v>
      </c>
      <c r="N165" t="s">
        <v>22</v>
      </c>
    </row>
    <row r="166" spans="1:14" x14ac:dyDescent="0.3">
      <c r="A166" s="1">
        <v>45901</v>
      </c>
      <c r="B166" t="s">
        <v>34</v>
      </c>
      <c r="C166" t="s">
        <v>35</v>
      </c>
      <c r="D166" t="s">
        <v>36</v>
      </c>
      <c r="E166" t="s">
        <v>17</v>
      </c>
      <c r="F166" t="s">
        <v>18</v>
      </c>
      <c r="G166" t="s">
        <v>29</v>
      </c>
      <c r="H166">
        <v>220.3</v>
      </c>
      <c r="I166">
        <v>226.23</v>
      </c>
      <c r="J166">
        <v>2.69</v>
      </c>
      <c r="K166">
        <v>2535095</v>
      </c>
      <c r="L166" t="s">
        <v>20</v>
      </c>
      <c r="M166" t="s">
        <v>21</v>
      </c>
      <c r="N166" t="s">
        <v>22</v>
      </c>
    </row>
    <row r="167" spans="1:14" x14ac:dyDescent="0.3">
      <c r="A167" s="1">
        <v>45902</v>
      </c>
      <c r="B167" t="s">
        <v>34</v>
      </c>
      <c r="C167" t="s">
        <v>35</v>
      </c>
      <c r="D167" t="s">
        <v>36</v>
      </c>
      <c r="E167" t="s">
        <v>17</v>
      </c>
      <c r="F167" t="s">
        <v>18</v>
      </c>
      <c r="G167" t="s">
        <v>23</v>
      </c>
      <c r="H167">
        <v>226.23</v>
      </c>
      <c r="I167">
        <v>224.46</v>
      </c>
      <c r="J167">
        <v>-0.78</v>
      </c>
      <c r="K167">
        <v>4530649</v>
      </c>
      <c r="L167" t="s">
        <v>20</v>
      </c>
      <c r="M167" t="s">
        <v>21</v>
      </c>
      <c r="N167" t="s">
        <v>22</v>
      </c>
    </row>
    <row r="168" spans="1:14" x14ac:dyDescent="0.3">
      <c r="A168" s="1">
        <v>45903</v>
      </c>
      <c r="B168" t="s">
        <v>34</v>
      </c>
      <c r="C168" t="s">
        <v>35</v>
      </c>
      <c r="D168" t="s">
        <v>36</v>
      </c>
      <c r="E168" t="s">
        <v>17</v>
      </c>
      <c r="F168" t="s">
        <v>18</v>
      </c>
      <c r="G168" t="s">
        <v>23</v>
      </c>
      <c r="H168">
        <v>224.46</v>
      </c>
      <c r="I168">
        <v>221.63</v>
      </c>
      <c r="J168">
        <v>-1.26</v>
      </c>
      <c r="K168">
        <v>4691911</v>
      </c>
      <c r="L168" t="s">
        <v>20</v>
      </c>
      <c r="M168" t="s">
        <v>21</v>
      </c>
      <c r="N168" t="s">
        <v>22</v>
      </c>
    </row>
    <row r="169" spans="1:14" x14ac:dyDescent="0.3">
      <c r="A169" s="1">
        <v>45904</v>
      </c>
      <c r="B169" t="s">
        <v>34</v>
      </c>
      <c r="C169" t="s">
        <v>35</v>
      </c>
      <c r="D169" t="s">
        <v>36</v>
      </c>
      <c r="E169" t="s">
        <v>17</v>
      </c>
      <c r="F169" t="s">
        <v>18</v>
      </c>
      <c r="G169" t="s">
        <v>29</v>
      </c>
      <c r="H169">
        <v>221.63</v>
      </c>
      <c r="I169">
        <v>224.08</v>
      </c>
      <c r="J169">
        <v>1.1100000000000001</v>
      </c>
      <c r="K169">
        <v>4167788</v>
      </c>
      <c r="L169" t="s">
        <v>20</v>
      </c>
      <c r="M169" t="s">
        <v>21</v>
      </c>
      <c r="N169" t="s">
        <v>22</v>
      </c>
    </row>
    <row r="170" spans="1:14" x14ac:dyDescent="0.3">
      <c r="A170" s="1">
        <v>45905</v>
      </c>
      <c r="B170" t="s">
        <v>34</v>
      </c>
      <c r="C170" t="s">
        <v>35</v>
      </c>
      <c r="D170" t="s">
        <v>36</v>
      </c>
      <c r="E170" t="s">
        <v>17</v>
      </c>
      <c r="F170" t="s">
        <v>18</v>
      </c>
      <c r="G170" t="s">
        <v>19</v>
      </c>
      <c r="H170">
        <v>224.08</v>
      </c>
      <c r="I170">
        <v>228.75</v>
      </c>
      <c r="J170">
        <v>2.09</v>
      </c>
      <c r="K170">
        <v>3987586</v>
      </c>
      <c r="L170" t="s">
        <v>20</v>
      </c>
      <c r="M170" t="s">
        <v>21</v>
      </c>
      <c r="N170" t="s">
        <v>22</v>
      </c>
    </row>
    <row r="171" spans="1:14" x14ac:dyDescent="0.3">
      <c r="A171" s="1">
        <v>45908</v>
      </c>
      <c r="B171" t="s">
        <v>34</v>
      </c>
      <c r="C171" t="s">
        <v>35</v>
      </c>
      <c r="D171" t="s">
        <v>36</v>
      </c>
      <c r="E171" t="s">
        <v>17</v>
      </c>
      <c r="F171" t="s">
        <v>18</v>
      </c>
      <c r="G171" t="s">
        <v>27</v>
      </c>
      <c r="H171">
        <v>228.75</v>
      </c>
      <c r="I171">
        <v>227.99</v>
      </c>
      <c r="J171">
        <v>-0.33</v>
      </c>
      <c r="K171">
        <v>480979</v>
      </c>
      <c r="L171" t="s">
        <v>20</v>
      </c>
      <c r="M171" t="s">
        <v>21</v>
      </c>
      <c r="N171" t="s">
        <v>22</v>
      </c>
    </row>
    <row r="172" spans="1:14" x14ac:dyDescent="0.3">
      <c r="A172" s="1">
        <v>45909</v>
      </c>
      <c r="B172" t="s">
        <v>34</v>
      </c>
      <c r="C172" t="s">
        <v>35</v>
      </c>
      <c r="D172" t="s">
        <v>36</v>
      </c>
      <c r="E172" t="s">
        <v>17</v>
      </c>
      <c r="F172" t="s">
        <v>18</v>
      </c>
      <c r="G172" t="s">
        <v>29</v>
      </c>
      <c r="H172">
        <v>227.99</v>
      </c>
      <c r="I172">
        <v>233.62</v>
      </c>
      <c r="J172">
        <v>2.4700000000000002</v>
      </c>
      <c r="K172">
        <v>598140</v>
      </c>
      <c r="L172" t="s">
        <v>20</v>
      </c>
      <c r="M172" t="s">
        <v>21</v>
      </c>
      <c r="N172" t="s">
        <v>22</v>
      </c>
    </row>
    <row r="173" spans="1:14" x14ac:dyDescent="0.3">
      <c r="A173" s="1">
        <v>45910</v>
      </c>
      <c r="B173" t="s">
        <v>34</v>
      </c>
      <c r="C173" t="s">
        <v>35</v>
      </c>
      <c r="D173" t="s">
        <v>36</v>
      </c>
      <c r="E173" t="s">
        <v>17</v>
      </c>
      <c r="F173" t="s">
        <v>18</v>
      </c>
      <c r="G173" t="s">
        <v>27</v>
      </c>
      <c r="H173">
        <v>233.62</v>
      </c>
      <c r="I173">
        <v>233.51</v>
      </c>
      <c r="J173">
        <v>-0.05</v>
      </c>
      <c r="K173">
        <v>499705</v>
      </c>
      <c r="L173" t="s">
        <v>20</v>
      </c>
      <c r="M173" t="s">
        <v>21</v>
      </c>
      <c r="N173" t="s">
        <v>22</v>
      </c>
    </row>
    <row r="174" spans="1:14" x14ac:dyDescent="0.3">
      <c r="A174" s="1">
        <v>45911</v>
      </c>
      <c r="B174" t="s">
        <v>34</v>
      </c>
      <c r="C174" t="s">
        <v>35</v>
      </c>
      <c r="D174" t="s">
        <v>36</v>
      </c>
      <c r="E174" t="s">
        <v>17</v>
      </c>
      <c r="F174" t="s">
        <v>18</v>
      </c>
      <c r="G174" t="s">
        <v>23</v>
      </c>
      <c r="H174">
        <v>233.51</v>
      </c>
      <c r="I174">
        <v>228.93</v>
      </c>
      <c r="J174">
        <v>-1.96</v>
      </c>
      <c r="K174">
        <v>2598757</v>
      </c>
      <c r="L174" t="s">
        <v>20</v>
      </c>
      <c r="M174" t="s">
        <v>21</v>
      </c>
      <c r="N174" t="s">
        <v>22</v>
      </c>
    </row>
    <row r="175" spans="1:14" x14ac:dyDescent="0.3">
      <c r="A175" s="1">
        <v>45912</v>
      </c>
      <c r="B175" t="s">
        <v>34</v>
      </c>
      <c r="C175" t="s">
        <v>35</v>
      </c>
      <c r="D175" t="s">
        <v>36</v>
      </c>
      <c r="E175" t="s">
        <v>17</v>
      </c>
      <c r="F175" t="s">
        <v>18</v>
      </c>
      <c r="G175" t="s">
        <v>19</v>
      </c>
      <c r="H175">
        <v>228.93</v>
      </c>
      <c r="I175">
        <v>235.26</v>
      </c>
      <c r="J175">
        <v>2.77</v>
      </c>
      <c r="K175">
        <v>3541120</v>
      </c>
      <c r="L175" t="s">
        <v>20</v>
      </c>
      <c r="M175" t="s">
        <v>21</v>
      </c>
      <c r="N175" t="s">
        <v>22</v>
      </c>
    </row>
    <row r="176" spans="1:14" x14ac:dyDescent="0.3">
      <c r="A176" s="1">
        <v>45915</v>
      </c>
      <c r="B176" t="s">
        <v>34</v>
      </c>
      <c r="C176" t="s">
        <v>35</v>
      </c>
      <c r="D176" t="s">
        <v>36</v>
      </c>
      <c r="E176" t="s">
        <v>17</v>
      </c>
      <c r="F176" t="s">
        <v>18</v>
      </c>
      <c r="G176" t="s">
        <v>23</v>
      </c>
      <c r="H176">
        <v>235.26</v>
      </c>
      <c r="I176">
        <v>238.89</v>
      </c>
      <c r="J176">
        <v>1.54</v>
      </c>
      <c r="K176">
        <v>3763812</v>
      </c>
      <c r="L176" t="s">
        <v>20</v>
      </c>
      <c r="M176" t="s">
        <v>21</v>
      </c>
      <c r="N176" t="s">
        <v>22</v>
      </c>
    </row>
    <row r="177" spans="1:14" x14ac:dyDescent="0.3">
      <c r="A177" s="1">
        <v>45916</v>
      </c>
      <c r="B177" t="s">
        <v>34</v>
      </c>
      <c r="C177" t="s">
        <v>35</v>
      </c>
      <c r="D177" t="s">
        <v>36</v>
      </c>
      <c r="E177" t="s">
        <v>17</v>
      </c>
      <c r="F177" t="s">
        <v>18</v>
      </c>
      <c r="G177" t="s">
        <v>29</v>
      </c>
      <c r="H177">
        <v>238.89</v>
      </c>
      <c r="I177">
        <v>243.71</v>
      </c>
      <c r="J177">
        <v>2.02</v>
      </c>
      <c r="K177">
        <v>2611715</v>
      </c>
      <c r="L177" t="s">
        <v>20</v>
      </c>
      <c r="M177" t="s">
        <v>21</v>
      </c>
      <c r="N177" t="s">
        <v>22</v>
      </c>
    </row>
    <row r="178" spans="1:14" x14ac:dyDescent="0.3">
      <c r="A178" s="1">
        <v>45917</v>
      </c>
      <c r="B178" t="s">
        <v>34</v>
      </c>
      <c r="C178" t="s">
        <v>35</v>
      </c>
      <c r="D178" t="s">
        <v>36</v>
      </c>
      <c r="E178" t="s">
        <v>17</v>
      </c>
      <c r="F178" t="s">
        <v>18</v>
      </c>
      <c r="G178" t="s">
        <v>19</v>
      </c>
      <c r="H178">
        <v>243.71</v>
      </c>
      <c r="I178">
        <v>245.21</v>
      </c>
      <c r="J178">
        <v>0.61</v>
      </c>
      <c r="K178">
        <v>1793051</v>
      </c>
      <c r="L178" t="s">
        <v>20</v>
      </c>
      <c r="M178" t="s">
        <v>21</v>
      </c>
      <c r="N178" t="s">
        <v>22</v>
      </c>
    </row>
    <row r="179" spans="1:14" x14ac:dyDescent="0.3">
      <c r="A179" s="1">
        <v>45918</v>
      </c>
      <c r="B179" t="s">
        <v>34</v>
      </c>
      <c r="C179" t="s">
        <v>35</v>
      </c>
      <c r="D179" t="s">
        <v>36</v>
      </c>
      <c r="E179" t="s">
        <v>17</v>
      </c>
      <c r="F179" t="s">
        <v>18</v>
      </c>
      <c r="G179" t="s">
        <v>23</v>
      </c>
      <c r="H179">
        <v>245.21</v>
      </c>
      <c r="I179">
        <v>241.97</v>
      </c>
      <c r="J179">
        <v>-1.32</v>
      </c>
      <c r="K179">
        <v>2062134</v>
      </c>
      <c r="L179" t="s">
        <v>20</v>
      </c>
      <c r="M179" t="s">
        <v>21</v>
      </c>
      <c r="N179" t="s">
        <v>22</v>
      </c>
    </row>
    <row r="180" spans="1:14" x14ac:dyDescent="0.3">
      <c r="A180" s="1">
        <v>45919</v>
      </c>
      <c r="B180" t="s">
        <v>34</v>
      </c>
      <c r="C180" t="s">
        <v>35</v>
      </c>
      <c r="D180" t="s">
        <v>36</v>
      </c>
      <c r="E180" t="s">
        <v>17</v>
      </c>
      <c r="F180" t="s">
        <v>18</v>
      </c>
      <c r="G180" t="s">
        <v>23</v>
      </c>
      <c r="H180">
        <v>241.97</v>
      </c>
      <c r="I180">
        <v>242.68</v>
      </c>
      <c r="J180">
        <v>0.28999999999999998</v>
      </c>
      <c r="K180">
        <v>3476893</v>
      </c>
      <c r="L180" t="s">
        <v>20</v>
      </c>
      <c r="M180" t="s">
        <v>21</v>
      </c>
      <c r="N180" t="s">
        <v>22</v>
      </c>
    </row>
    <row r="181" spans="1:14" x14ac:dyDescent="0.3">
      <c r="A181" s="1">
        <v>45922</v>
      </c>
      <c r="B181" t="s">
        <v>34</v>
      </c>
      <c r="C181" t="s">
        <v>35</v>
      </c>
      <c r="D181" t="s">
        <v>36</v>
      </c>
      <c r="E181" t="s">
        <v>17</v>
      </c>
      <c r="F181" t="s">
        <v>18</v>
      </c>
      <c r="G181" t="s">
        <v>27</v>
      </c>
      <c r="H181">
        <v>242.68</v>
      </c>
      <c r="I181">
        <v>245.25</v>
      </c>
      <c r="J181">
        <v>1.06</v>
      </c>
      <c r="K181">
        <v>323802</v>
      </c>
      <c r="L181" t="s">
        <v>20</v>
      </c>
      <c r="M181" t="s">
        <v>21</v>
      </c>
      <c r="N181" t="s">
        <v>22</v>
      </c>
    </row>
    <row r="182" spans="1:14" x14ac:dyDescent="0.3">
      <c r="A182" s="1">
        <v>45839</v>
      </c>
      <c r="B182" t="s">
        <v>37</v>
      </c>
      <c r="C182" t="s">
        <v>38</v>
      </c>
      <c r="D182" t="s">
        <v>39</v>
      </c>
      <c r="E182" t="s">
        <v>17</v>
      </c>
      <c r="F182" t="s">
        <v>18</v>
      </c>
      <c r="G182" t="s">
        <v>23</v>
      </c>
      <c r="H182">
        <v>240</v>
      </c>
      <c r="I182">
        <v>237.15</v>
      </c>
      <c r="J182">
        <v>-1.19</v>
      </c>
      <c r="K182">
        <v>3858690</v>
      </c>
      <c r="L182" t="s">
        <v>20</v>
      </c>
      <c r="M182" t="s">
        <v>21</v>
      </c>
      <c r="N182" t="s">
        <v>22</v>
      </c>
    </row>
    <row r="183" spans="1:14" x14ac:dyDescent="0.3">
      <c r="A183" s="1">
        <v>45840</v>
      </c>
      <c r="B183" t="s">
        <v>37</v>
      </c>
      <c r="C183" t="s">
        <v>38</v>
      </c>
      <c r="D183" t="s">
        <v>39</v>
      </c>
      <c r="E183" t="s">
        <v>17</v>
      </c>
      <c r="F183" t="s">
        <v>18</v>
      </c>
      <c r="G183" t="s">
        <v>19</v>
      </c>
      <c r="H183">
        <v>237.15</v>
      </c>
      <c r="I183">
        <v>239.64</v>
      </c>
      <c r="J183">
        <v>1.05</v>
      </c>
      <c r="K183">
        <v>4997513</v>
      </c>
      <c r="L183" t="s">
        <v>20</v>
      </c>
      <c r="M183" t="s">
        <v>21</v>
      </c>
      <c r="N183" t="s">
        <v>22</v>
      </c>
    </row>
    <row r="184" spans="1:14" x14ac:dyDescent="0.3">
      <c r="A184" s="1">
        <v>45841</v>
      </c>
      <c r="B184" t="s">
        <v>37</v>
      </c>
      <c r="C184" t="s">
        <v>38</v>
      </c>
      <c r="D184" t="s">
        <v>39</v>
      </c>
      <c r="E184" t="s">
        <v>17</v>
      </c>
      <c r="F184" t="s">
        <v>18</v>
      </c>
      <c r="G184" t="s">
        <v>23</v>
      </c>
      <c r="H184">
        <v>239.64</v>
      </c>
      <c r="I184">
        <v>238.64</v>
      </c>
      <c r="J184">
        <v>-0.42</v>
      </c>
      <c r="K184">
        <v>1299813</v>
      </c>
      <c r="L184" t="s">
        <v>20</v>
      </c>
      <c r="M184" t="s">
        <v>21</v>
      </c>
      <c r="N184" t="s">
        <v>22</v>
      </c>
    </row>
    <row r="185" spans="1:14" x14ac:dyDescent="0.3">
      <c r="A185" s="1">
        <v>45842</v>
      </c>
      <c r="B185" t="s">
        <v>37</v>
      </c>
      <c r="C185" t="s">
        <v>38</v>
      </c>
      <c r="D185" t="s">
        <v>39</v>
      </c>
      <c r="E185" t="s">
        <v>17</v>
      </c>
      <c r="F185" t="s">
        <v>18</v>
      </c>
      <c r="G185" t="s">
        <v>29</v>
      </c>
      <c r="H185">
        <v>238.64</v>
      </c>
      <c r="I185">
        <v>243</v>
      </c>
      <c r="J185">
        <v>1.83</v>
      </c>
      <c r="K185">
        <v>1441861</v>
      </c>
      <c r="L185" t="s">
        <v>20</v>
      </c>
      <c r="M185" t="s">
        <v>21</v>
      </c>
      <c r="N185" t="s">
        <v>22</v>
      </c>
    </row>
    <row r="186" spans="1:14" x14ac:dyDescent="0.3">
      <c r="A186" s="1">
        <v>45845</v>
      </c>
      <c r="B186" t="s">
        <v>37</v>
      </c>
      <c r="C186" t="s">
        <v>38</v>
      </c>
      <c r="D186" t="s">
        <v>39</v>
      </c>
      <c r="E186" t="s">
        <v>17</v>
      </c>
      <c r="F186" t="s">
        <v>18</v>
      </c>
      <c r="G186" t="s">
        <v>29</v>
      </c>
      <c r="H186">
        <v>243</v>
      </c>
      <c r="I186">
        <v>244.29</v>
      </c>
      <c r="J186">
        <v>0.53</v>
      </c>
      <c r="K186">
        <v>2471041</v>
      </c>
      <c r="L186" t="s">
        <v>20</v>
      </c>
      <c r="M186" t="s">
        <v>21</v>
      </c>
      <c r="N186" t="s">
        <v>22</v>
      </c>
    </row>
    <row r="187" spans="1:14" x14ac:dyDescent="0.3">
      <c r="A187" s="1">
        <v>45846</v>
      </c>
      <c r="B187" t="s">
        <v>37</v>
      </c>
      <c r="C187" t="s">
        <v>38</v>
      </c>
      <c r="D187" t="s">
        <v>39</v>
      </c>
      <c r="E187" t="s">
        <v>17</v>
      </c>
      <c r="F187" t="s">
        <v>18</v>
      </c>
      <c r="G187" t="s">
        <v>27</v>
      </c>
      <c r="H187">
        <v>244.29</v>
      </c>
      <c r="I187">
        <v>239.16</v>
      </c>
      <c r="J187">
        <v>-2.1</v>
      </c>
      <c r="K187">
        <v>3426486</v>
      </c>
      <c r="L187" t="s">
        <v>20</v>
      </c>
      <c r="M187" t="s">
        <v>21</v>
      </c>
      <c r="N187" t="s">
        <v>22</v>
      </c>
    </row>
    <row r="188" spans="1:14" x14ac:dyDescent="0.3">
      <c r="A188" s="1">
        <v>45847</v>
      </c>
      <c r="B188" t="s">
        <v>37</v>
      </c>
      <c r="C188" t="s">
        <v>38</v>
      </c>
      <c r="D188" t="s">
        <v>39</v>
      </c>
      <c r="E188" t="s">
        <v>17</v>
      </c>
      <c r="F188" t="s">
        <v>18</v>
      </c>
      <c r="G188" t="s">
        <v>29</v>
      </c>
      <c r="H188">
        <v>239.16</v>
      </c>
      <c r="I188">
        <v>239.16</v>
      </c>
      <c r="J188">
        <v>0</v>
      </c>
      <c r="K188">
        <v>724795</v>
      </c>
      <c r="L188" t="s">
        <v>20</v>
      </c>
      <c r="M188" t="s">
        <v>21</v>
      </c>
      <c r="N188" t="s">
        <v>22</v>
      </c>
    </row>
    <row r="189" spans="1:14" x14ac:dyDescent="0.3">
      <c r="A189" s="1">
        <v>45848</v>
      </c>
      <c r="B189" t="s">
        <v>37</v>
      </c>
      <c r="C189" t="s">
        <v>38</v>
      </c>
      <c r="D189" t="s">
        <v>39</v>
      </c>
      <c r="E189" t="s">
        <v>17</v>
      </c>
      <c r="F189" t="s">
        <v>18</v>
      </c>
      <c r="G189" t="s">
        <v>19</v>
      </c>
      <c r="H189">
        <v>239.16</v>
      </c>
      <c r="I189">
        <v>244.38</v>
      </c>
      <c r="J189">
        <v>2.1800000000000002</v>
      </c>
      <c r="K189">
        <v>2150238</v>
      </c>
      <c r="L189" t="s">
        <v>20</v>
      </c>
      <c r="M189" t="s">
        <v>21</v>
      </c>
      <c r="N189" t="s">
        <v>22</v>
      </c>
    </row>
    <row r="190" spans="1:14" x14ac:dyDescent="0.3">
      <c r="A190" s="1">
        <v>45849</v>
      </c>
      <c r="B190" t="s">
        <v>37</v>
      </c>
      <c r="C190" t="s">
        <v>38</v>
      </c>
      <c r="D190" t="s">
        <v>39</v>
      </c>
      <c r="E190" t="s">
        <v>17</v>
      </c>
      <c r="F190" t="s">
        <v>18</v>
      </c>
      <c r="G190" t="s">
        <v>19</v>
      </c>
      <c r="H190">
        <v>244.38</v>
      </c>
      <c r="I190">
        <v>238.78</v>
      </c>
      <c r="J190">
        <v>-2.29</v>
      </c>
      <c r="K190">
        <v>4875119</v>
      </c>
      <c r="L190" t="s">
        <v>20</v>
      </c>
      <c r="M190" t="s">
        <v>21</v>
      </c>
      <c r="N190" t="s">
        <v>22</v>
      </c>
    </row>
    <row r="191" spans="1:14" x14ac:dyDescent="0.3">
      <c r="A191" s="1">
        <v>45852</v>
      </c>
      <c r="B191" t="s">
        <v>37</v>
      </c>
      <c r="C191" t="s">
        <v>38</v>
      </c>
      <c r="D191" t="s">
        <v>39</v>
      </c>
      <c r="E191" t="s">
        <v>17</v>
      </c>
      <c r="F191" t="s">
        <v>18</v>
      </c>
      <c r="G191" t="s">
        <v>19</v>
      </c>
      <c r="H191">
        <v>238.78</v>
      </c>
      <c r="I191">
        <v>245.46</v>
      </c>
      <c r="J191">
        <v>2.8</v>
      </c>
      <c r="K191">
        <v>2310822</v>
      </c>
      <c r="L191" t="s">
        <v>20</v>
      </c>
      <c r="M191" t="s">
        <v>21</v>
      </c>
      <c r="N191" t="s">
        <v>22</v>
      </c>
    </row>
    <row r="192" spans="1:14" x14ac:dyDescent="0.3">
      <c r="A192" s="1">
        <v>45853</v>
      </c>
      <c r="B192" t="s">
        <v>37</v>
      </c>
      <c r="C192" t="s">
        <v>38</v>
      </c>
      <c r="D192" t="s">
        <v>39</v>
      </c>
      <c r="E192" t="s">
        <v>17</v>
      </c>
      <c r="F192" t="s">
        <v>18</v>
      </c>
      <c r="G192" t="s">
        <v>19</v>
      </c>
      <c r="H192">
        <v>245.46</v>
      </c>
      <c r="I192">
        <v>249.08</v>
      </c>
      <c r="J192">
        <v>1.47</v>
      </c>
      <c r="K192">
        <v>4403384</v>
      </c>
      <c r="L192" t="s">
        <v>20</v>
      </c>
      <c r="M192" t="s">
        <v>21</v>
      </c>
      <c r="N192" t="s">
        <v>22</v>
      </c>
    </row>
    <row r="193" spans="1:14" x14ac:dyDescent="0.3">
      <c r="A193" s="1">
        <v>45854</v>
      </c>
      <c r="B193" t="s">
        <v>37</v>
      </c>
      <c r="C193" t="s">
        <v>38</v>
      </c>
      <c r="D193" t="s">
        <v>39</v>
      </c>
      <c r="E193" t="s">
        <v>17</v>
      </c>
      <c r="F193" t="s">
        <v>18</v>
      </c>
      <c r="G193" t="s">
        <v>27</v>
      </c>
      <c r="H193">
        <v>249.08</v>
      </c>
      <c r="I193">
        <v>254.89</v>
      </c>
      <c r="J193">
        <v>2.33</v>
      </c>
      <c r="K193">
        <v>4960100</v>
      </c>
      <c r="L193" t="s">
        <v>20</v>
      </c>
      <c r="M193" t="s">
        <v>21</v>
      </c>
      <c r="N193" t="s">
        <v>22</v>
      </c>
    </row>
    <row r="194" spans="1:14" x14ac:dyDescent="0.3">
      <c r="A194" s="1">
        <v>45855</v>
      </c>
      <c r="B194" t="s">
        <v>37</v>
      </c>
      <c r="C194" t="s">
        <v>38</v>
      </c>
      <c r="D194" t="s">
        <v>39</v>
      </c>
      <c r="E194" t="s">
        <v>17</v>
      </c>
      <c r="F194" t="s">
        <v>18</v>
      </c>
      <c r="G194" t="s">
        <v>27</v>
      </c>
      <c r="H194">
        <v>254.89</v>
      </c>
      <c r="I194">
        <v>256.81</v>
      </c>
      <c r="J194">
        <v>0.75</v>
      </c>
      <c r="K194">
        <v>815396</v>
      </c>
      <c r="L194" t="s">
        <v>20</v>
      </c>
      <c r="M194" t="s">
        <v>21</v>
      </c>
      <c r="N194" t="s">
        <v>22</v>
      </c>
    </row>
    <row r="195" spans="1:14" x14ac:dyDescent="0.3">
      <c r="A195" s="1">
        <v>45856</v>
      </c>
      <c r="B195" t="s">
        <v>37</v>
      </c>
      <c r="C195" t="s">
        <v>38</v>
      </c>
      <c r="D195" t="s">
        <v>39</v>
      </c>
      <c r="E195" t="s">
        <v>17</v>
      </c>
      <c r="F195" t="s">
        <v>18</v>
      </c>
      <c r="G195" t="s">
        <v>27</v>
      </c>
      <c r="H195">
        <v>256.81</v>
      </c>
      <c r="I195">
        <v>254.62</v>
      </c>
      <c r="J195">
        <v>-0.85</v>
      </c>
      <c r="K195">
        <v>927447</v>
      </c>
      <c r="L195" t="s">
        <v>20</v>
      </c>
      <c r="M195" t="s">
        <v>21</v>
      </c>
      <c r="N195" t="s">
        <v>22</v>
      </c>
    </row>
    <row r="196" spans="1:14" x14ac:dyDescent="0.3">
      <c r="A196" s="1">
        <v>45859</v>
      </c>
      <c r="B196" t="s">
        <v>37</v>
      </c>
      <c r="C196" t="s">
        <v>38</v>
      </c>
      <c r="D196" t="s">
        <v>39</v>
      </c>
      <c r="E196" t="s">
        <v>17</v>
      </c>
      <c r="F196" t="s">
        <v>18</v>
      </c>
      <c r="G196" t="s">
        <v>23</v>
      </c>
      <c r="H196">
        <v>254.62</v>
      </c>
      <c r="I196">
        <v>252.2</v>
      </c>
      <c r="J196">
        <v>-0.95</v>
      </c>
      <c r="K196">
        <v>2467746</v>
      </c>
      <c r="L196" t="s">
        <v>20</v>
      </c>
      <c r="M196" t="s">
        <v>21</v>
      </c>
      <c r="N196" t="s">
        <v>22</v>
      </c>
    </row>
    <row r="197" spans="1:14" x14ac:dyDescent="0.3">
      <c r="A197" s="1">
        <v>45860</v>
      </c>
      <c r="B197" t="s">
        <v>37</v>
      </c>
      <c r="C197" t="s">
        <v>38</v>
      </c>
      <c r="D197" t="s">
        <v>39</v>
      </c>
      <c r="E197" t="s">
        <v>17</v>
      </c>
      <c r="F197" t="s">
        <v>18</v>
      </c>
      <c r="G197" t="s">
        <v>27</v>
      </c>
      <c r="H197">
        <v>252.2</v>
      </c>
      <c r="I197">
        <v>256.62</v>
      </c>
      <c r="J197">
        <v>1.76</v>
      </c>
      <c r="K197">
        <v>3865356</v>
      </c>
      <c r="L197" t="s">
        <v>20</v>
      </c>
      <c r="M197" t="s">
        <v>21</v>
      </c>
      <c r="N197" t="s">
        <v>22</v>
      </c>
    </row>
    <row r="198" spans="1:14" x14ac:dyDescent="0.3">
      <c r="A198" s="1">
        <v>45861</v>
      </c>
      <c r="B198" t="s">
        <v>37</v>
      </c>
      <c r="C198" t="s">
        <v>38</v>
      </c>
      <c r="D198" t="s">
        <v>39</v>
      </c>
      <c r="E198" t="s">
        <v>17</v>
      </c>
      <c r="F198" t="s">
        <v>18</v>
      </c>
      <c r="G198" t="s">
        <v>19</v>
      </c>
      <c r="H198">
        <v>256.62</v>
      </c>
      <c r="I198">
        <v>253.96</v>
      </c>
      <c r="J198">
        <v>-1.04</v>
      </c>
      <c r="K198">
        <v>3440466</v>
      </c>
      <c r="L198" t="s">
        <v>20</v>
      </c>
      <c r="M198" t="s">
        <v>21</v>
      </c>
      <c r="N198" t="s">
        <v>22</v>
      </c>
    </row>
    <row r="199" spans="1:14" x14ac:dyDescent="0.3">
      <c r="A199" s="1">
        <v>45862</v>
      </c>
      <c r="B199" t="s">
        <v>37</v>
      </c>
      <c r="C199" t="s">
        <v>38</v>
      </c>
      <c r="D199" t="s">
        <v>39</v>
      </c>
      <c r="E199" t="s">
        <v>17</v>
      </c>
      <c r="F199" t="s">
        <v>18</v>
      </c>
      <c r="G199" t="s">
        <v>19</v>
      </c>
      <c r="H199">
        <v>253.96</v>
      </c>
      <c r="I199">
        <v>256.2</v>
      </c>
      <c r="J199">
        <v>0.88</v>
      </c>
      <c r="K199">
        <v>3516571</v>
      </c>
      <c r="L199" t="s">
        <v>20</v>
      </c>
      <c r="M199" t="s">
        <v>21</v>
      </c>
      <c r="N199" t="s">
        <v>22</v>
      </c>
    </row>
    <row r="200" spans="1:14" x14ac:dyDescent="0.3">
      <c r="A200" s="1">
        <v>45863</v>
      </c>
      <c r="B200" t="s">
        <v>37</v>
      </c>
      <c r="C200" t="s">
        <v>38</v>
      </c>
      <c r="D200" t="s">
        <v>39</v>
      </c>
      <c r="E200" t="s">
        <v>17</v>
      </c>
      <c r="F200" t="s">
        <v>18</v>
      </c>
      <c r="G200" t="s">
        <v>19</v>
      </c>
      <c r="H200">
        <v>256.2</v>
      </c>
      <c r="I200">
        <v>251.72</v>
      </c>
      <c r="J200">
        <v>-1.75</v>
      </c>
      <c r="K200">
        <v>4231663</v>
      </c>
      <c r="L200" t="s">
        <v>20</v>
      </c>
      <c r="M200" t="s">
        <v>21</v>
      </c>
      <c r="N200" t="s">
        <v>22</v>
      </c>
    </row>
    <row r="201" spans="1:14" x14ac:dyDescent="0.3">
      <c r="A201" s="1">
        <v>45866</v>
      </c>
      <c r="B201" t="s">
        <v>37</v>
      </c>
      <c r="C201" t="s">
        <v>38</v>
      </c>
      <c r="D201" t="s">
        <v>39</v>
      </c>
      <c r="E201" t="s">
        <v>17</v>
      </c>
      <c r="F201" t="s">
        <v>18</v>
      </c>
      <c r="G201" t="s">
        <v>27</v>
      </c>
      <c r="H201">
        <v>251.72</v>
      </c>
      <c r="I201">
        <v>255.38</v>
      </c>
      <c r="J201">
        <v>1.46</v>
      </c>
      <c r="K201">
        <v>4657188</v>
      </c>
      <c r="L201" t="s">
        <v>20</v>
      </c>
      <c r="M201" t="s">
        <v>21</v>
      </c>
      <c r="N201" t="s">
        <v>22</v>
      </c>
    </row>
    <row r="202" spans="1:14" x14ac:dyDescent="0.3">
      <c r="A202" s="1">
        <v>45867</v>
      </c>
      <c r="B202" t="s">
        <v>37</v>
      </c>
      <c r="C202" t="s">
        <v>38</v>
      </c>
      <c r="D202" t="s">
        <v>39</v>
      </c>
      <c r="E202" t="s">
        <v>17</v>
      </c>
      <c r="F202" t="s">
        <v>18</v>
      </c>
      <c r="G202" t="s">
        <v>23</v>
      </c>
      <c r="H202">
        <v>255.38</v>
      </c>
      <c r="I202">
        <v>261.5</v>
      </c>
      <c r="J202">
        <v>2.39</v>
      </c>
      <c r="K202">
        <v>4116057</v>
      </c>
      <c r="L202" t="s">
        <v>20</v>
      </c>
      <c r="M202" t="s">
        <v>21</v>
      </c>
      <c r="N202" t="s">
        <v>22</v>
      </c>
    </row>
    <row r="203" spans="1:14" x14ac:dyDescent="0.3">
      <c r="A203" s="1">
        <v>45868</v>
      </c>
      <c r="B203" t="s">
        <v>37</v>
      </c>
      <c r="C203" t="s">
        <v>38</v>
      </c>
      <c r="D203" t="s">
        <v>39</v>
      </c>
      <c r="E203" t="s">
        <v>17</v>
      </c>
      <c r="F203" t="s">
        <v>18</v>
      </c>
      <c r="G203" t="s">
        <v>19</v>
      </c>
      <c r="H203">
        <v>261.5</v>
      </c>
      <c r="I203">
        <v>254.6</v>
      </c>
      <c r="J203">
        <v>-2.64</v>
      </c>
      <c r="K203">
        <v>2057372</v>
      </c>
      <c r="L203" t="s">
        <v>20</v>
      </c>
      <c r="M203" t="s">
        <v>21</v>
      </c>
      <c r="N203" t="s">
        <v>22</v>
      </c>
    </row>
    <row r="204" spans="1:14" x14ac:dyDescent="0.3">
      <c r="A204" s="1">
        <v>45869</v>
      </c>
      <c r="B204" t="s">
        <v>37</v>
      </c>
      <c r="C204" t="s">
        <v>38</v>
      </c>
      <c r="D204" t="s">
        <v>39</v>
      </c>
      <c r="E204" t="s">
        <v>17</v>
      </c>
      <c r="F204" t="s">
        <v>18</v>
      </c>
      <c r="G204" t="s">
        <v>23</v>
      </c>
      <c r="H204">
        <v>254.6</v>
      </c>
      <c r="L204" t="s">
        <v>24</v>
      </c>
      <c r="M204" t="s">
        <v>25</v>
      </c>
      <c r="N204" t="s">
        <v>30</v>
      </c>
    </row>
    <row r="205" spans="1:14" x14ac:dyDescent="0.3">
      <c r="A205" s="1">
        <v>45870</v>
      </c>
      <c r="B205" t="s">
        <v>37</v>
      </c>
      <c r="C205" t="s">
        <v>38</v>
      </c>
      <c r="D205" t="s">
        <v>39</v>
      </c>
      <c r="E205" t="s">
        <v>17</v>
      </c>
      <c r="F205" t="s">
        <v>18</v>
      </c>
      <c r="G205" t="s">
        <v>27</v>
      </c>
      <c r="H205">
        <v>254.6</v>
      </c>
      <c r="I205">
        <v>248.8</v>
      </c>
      <c r="J205">
        <v>-2.2799999999999998</v>
      </c>
      <c r="K205">
        <v>1001780</v>
      </c>
      <c r="L205" t="s">
        <v>20</v>
      </c>
      <c r="M205" t="s">
        <v>21</v>
      </c>
      <c r="N205" t="s">
        <v>22</v>
      </c>
    </row>
    <row r="206" spans="1:14" x14ac:dyDescent="0.3">
      <c r="A206" s="1">
        <v>45873</v>
      </c>
      <c r="B206" t="s">
        <v>37</v>
      </c>
      <c r="C206" t="s">
        <v>38</v>
      </c>
      <c r="D206" t="s">
        <v>39</v>
      </c>
      <c r="E206" t="s">
        <v>17</v>
      </c>
      <c r="F206" t="s">
        <v>18</v>
      </c>
      <c r="G206" t="s">
        <v>27</v>
      </c>
      <c r="H206">
        <v>248.8</v>
      </c>
      <c r="I206">
        <v>255.03</v>
      </c>
      <c r="J206">
        <v>2.5</v>
      </c>
      <c r="K206">
        <v>1341603</v>
      </c>
      <c r="L206" t="s">
        <v>20</v>
      </c>
      <c r="M206" t="s">
        <v>21</v>
      </c>
      <c r="N206" t="s">
        <v>22</v>
      </c>
    </row>
    <row r="207" spans="1:14" x14ac:dyDescent="0.3">
      <c r="A207" s="1">
        <v>45874</v>
      </c>
      <c r="B207" t="s">
        <v>37</v>
      </c>
      <c r="C207" t="s">
        <v>38</v>
      </c>
      <c r="D207" t="s">
        <v>39</v>
      </c>
      <c r="E207" t="s">
        <v>17</v>
      </c>
      <c r="F207" t="s">
        <v>18</v>
      </c>
      <c r="G207" t="s">
        <v>27</v>
      </c>
      <c r="H207">
        <v>255.03</v>
      </c>
      <c r="I207">
        <v>261.20999999999998</v>
      </c>
      <c r="J207">
        <v>2.42</v>
      </c>
      <c r="K207">
        <v>2343654</v>
      </c>
      <c r="L207" t="s">
        <v>20</v>
      </c>
      <c r="M207" t="s">
        <v>21</v>
      </c>
      <c r="N207" t="s">
        <v>22</v>
      </c>
    </row>
    <row r="208" spans="1:14" x14ac:dyDescent="0.3">
      <c r="A208" s="1">
        <v>45875</v>
      </c>
      <c r="B208" t="s">
        <v>37</v>
      </c>
      <c r="C208" t="s">
        <v>38</v>
      </c>
      <c r="D208" t="s">
        <v>39</v>
      </c>
      <c r="E208" t="s">
        <v>17</v>
      </c>
      <c r="F208" t="s">
        <v>18</v>
      </c>
      <c r="G208" t="s">
        <v>27</v>
      </c>
      <c r="H208">
        <v>261.20999999999998</v>
      </c>
      <c r="I208">
        <v>266.10000000000002</v>
      </c>
      <c r="J208">
        <v>1.87</v>
      </c>
      <c r="K208">
        <v>2094563</v>
      </c>
      <c r="L208" t="s">
        <v>20</v>
      </c>
      <c r="M208" t="s">
        <v>21</v>
      </c>
      <c r="N208" t="s">
        <v>22</v>
      </c>
    </row>
    <row r="209" spans="1:14" x14ac:dyDescent="0.3">
      <c r="A209" s="1">
        <v>45876</v>
      </c>
      <c r="B209" t="s">
        <v>37</v>
      </c>
      <c r="C209" t="s">
        <v>38</v>
      </c>
      <c r="D209" t="s">
        <v>39</v>
      </c>
      <c r="E209" t="s">
        <v>17</v>
      </c>
      <c r="F209" t="s">
        <v>18</v>
      </c>
      <c r="G209" t="s">
        <v>27</v>
      </c>
      <c r="H209">
        <v>266.10000000000002</v>
      </c>
      <c r="I209">
        <v>266.87</v>
      </c>
      <c r="J209">
        <v>0.28999999999999998</v>
      </c>
      <c r="K209">
        <v>4313433</v>
      </c>
      <c r="L209" t="s">
        <v>20</v>
      </c>
      <c r="M209" t="s">
        <v>21</v>
      </c>
      <c r="N209" t="s">
        <v>22</v>
      </c>
    </row>
    <row r="210" spans="1:14" x14ac:dyDescent="0.3">
      <c r="A210" s="1">
        <v>45877</v>
      </c>
      <c r="B210" t="s">
        <v>37</v>
      </c>
      <c r="C210" t="s">
        <v>38</v>
      </c>
      <c r="D210" t="s">
        <v>39</v>
      </c>
      <c r="E210" t="s">
        <v>17</v>
      </c>
      <c r="F210" t="s">
        <v>18</v>
      </c>
      <c r="G210" t="s">
        <v>23</v>
      </c>
      <c r="H210">
        <v>266.87</v>
      </c>
      <c r="I210">
        <v>272.31</v>
      </c>
      <c r="J210">
        <v>2.04</v>
      </c>
      <c r="K210">
        <v>3530789</v>
      </c>
      <c r="L210" t="s">
        <v>20</v>
      </c>
      <c r="M210" t="s">
        <v>21</v>
      </c>
      <c r="N210" t="s">
        <v>22</v>
      </c>
    </row>
    <row r="211" spans="1:14" x14ac:dyDescent="0.3">
      <c r="A211" s="1">
        <v>45880</v>
      </c>
      <c r="B211" t="s">
        <v>37</v>
      </c>
      <c r="C211" t="s">
        <v>38</v>
      </c>
      <c r="D211" t="s">
        <v>39</v>
      </c>
      <c r="E211" t="s">
        <v>17</v>
      </c>
      <c r="F211" t="s">
        <v>18</v>
      </c>
      <c r="G211" t="s">
        <v>29</v>
      </c>
      <c r="H211">
        <v>272.31</v>
      </c>
      <c r="I211">
        <v>278.93</v>
      </c>
      <c r="J211">
        <v>2.4300000000000002</v>
      </c>
      <c r="K211">
        <v>71518</v>
      </c>
      <c r="L211" t="s">
        <v>20</v>
      </c>
      <c r="M211" t="s">
        <v>21</v>
      </c>
      <c r="N211" t="s">
        <v>22</v>
      </c>
    </row>
    <row r="212" spans="1:14" x14ac:dyDescent="0.3">
      <c r="A212" s="1">
        <v>45881</v>
      </c>
      <c r="B212" t="s">
        <v>37</v>
      </c>
      <c r="C212" t="s">
        <v>38</v>
      </c>
      <c r="D212" t="s">
        <v>39</v>
      </c>
      <c r="E212" t="s">
        <v>17</v>
      </c>
      <c r="F212" t="s">
        <v>18</v>
      </c>
      <c r="G212" t="s">
        <v>29</v>
      </c>
      <c r="H212">
        <v>278.93</v>
      </c>
      <c r="I212">
        <v>282.45999999999998</v>
      </c>
      <c r="J212">
        <v>1.27</v>
      </c>
      <c r="K212">
        <v>4914749</v>
      </c>
      <c r="L212" t="s">
        <v>20</v>
      </c>
      <c r="M212" t="s">
        <v>21</v>
      </c>
      <c r="N212" t="s">
        <v>22</v>
      </c>
    </row>
    <row r="213" spans="1:14" x14ac:dyDescent="0.3">
      <c r="A213" s="1">
        <v>45882</v>
      </c>
      <c r="B213" t="s">
        <v>37</v>
      </c>
      <c r="C213" t="s">
        <v>38</v>
      </c>
      <c r="D213" t="s">
        <v>39</v>
      </c>
      <c r="E213" t="s">
        <v>17</v>
      </c>
      <c r="F213" t="s">
        <v>18</v>
      </c>
      <c r="G213" t="s">
        <v>27</v>
      </c>
      <c r="H213">
        <v>282.45999999999998</v>
      </c>
      <c r="I213">
        <v>288.24</v>
      </c>
      <c r="J213">
        <v>2.0499999999999998</v>
      </c>
      <c r="K213">
        <v>4112950</v>
      </c>
      <c r="L213" t="s">
        <v>20</v>
      </c>
      <c r="M213" t="s">
        <v>21</v>
      </c>
      <c r="N213" t="s">
        <v>22</v>
      </c>
    </row>
    <row r="214" spans="1:14" x14ac:dyDescent="0.3">
      <c r="A214" s="1">
        <v>45883</v>
      </c>
      <c r="B214" t="s">
        <v>37</v>
      </c>
      <c r="C214" t="s">
        <v>38</v>
      </c>
      <c r="D214" t="s">
        <v>39</v>
      </c>
      <c r="E214" t="s">
        <v>17</v>
      </c>
      <c r="F214" t="s">
        <v>18</v>
      </c>
      <c r="G214" t="s">
        <v>29</v>
      </c>
      <c r="H214">
        <v>288.24</v>
      </c>
      <c r="I214">
        <v>285.52999999999997</v>
      </c>
      <c r="J214">
        <v>-0.94</v>
      </c>
      <c r="K214">
        <v>3214267</v>
      </c>
      <c r="L214" t="s">
        <v>20</v>
      </c>
      <c r="M214" t="s">
        <v>21</v>
      </c>
      <c r="N214" t="s">
        <v>22</v>
      </c>
    </row>
    <row r="215" spans="1:14" x14ac:dyDescent="0.3">
      <c r="A215" s="1">
        <v>45884</v>
      </c>
      <c r="B215" t="s">
        <v>37</v>
      </c>
      <c r="C215" t="s">
        <v>38</v>
      </c>
      <c r="D215" t="s">
        <v>39</v>
      </c>
      <c r="E215" t="s">
        <v>17</v>
      </c>
      <c r="F215" t="s">
        <v>18</v>
      </c>
      <c r="G215" t="s">
        <v>27</v>
      </c>
      <c r="H215">
        <v>285.52999999999997</v>
      </c>
      <c r="I215">
        <v>292.45999999999998</v>
      </c>
      <c r="J215">
        <v>2.42</v>
      </c>
      <c r="K215">
        <v>2053246</v>
      </c>
      <c r="L215" t="s">
        <v>20</v>
      </c>
      <c r="M215" t="s">
        <v>21</v>
      </c>
      <c r="N215" t="s">
        <v>22</v>
      </c>
    </row>
    <row r="216" spans="1:14" x14ac:dyDescent="0.3">
      <c r="A216" s="1">
        <v>45887</v>
      </c>
      <c r="B216" t="s">
        <v>37</v>
      </c>
      <c r="C216" t="s">
        <v>38</v>
      </c>
      <c r="D216" t="s">
        <v>39</v>
      </c>
      <c r="E216" t="s">
        <v>17</v>
      </c>
      <c r="F216" t="s">
        <v>18</v>
      </c>
      <c r="G216" t="s">
        <v>27</v>
      </c>
      <c r="H216">
        <v>292.45999999999998</v>
      </c>
      <c r="I216">
        <v>288.08999999999997</v>
      </c>
      <c r="J216">
        <v>-1.49</v>
      </c>
      <c r="K216">
        <v>416140</v>
      </c>
      <c r="L216" t="s">
        <v>20</v>
      </c>
      <c r="M216" t="s">
        <v>21</v>
      </c>
      <c r="N216" t="s">
        <v>22</v>
      </c>
    </row>
    <row r="217" spans="1:14" x14ac:dyDescent="0.3">
      <c r="A217" s="1">
        <v>45888</v>
      </c>
      <c r="B217" t="s">
        <v>37</v>
      </c>
      <c r="C217" t="s">
        <v>38</v>
      </c>
      <c r="D217" t="s">
        <v>39</v>
      </c>
      <c r="E217" t="s">
        <v>17</v>
      </c>
      <c r="F217" t="s">
        <v>18</v>
      </c>
      <c r="G217" t="s">
        <v>29</v>
      </c>
      <c r="H217">
        <v>288.08999999999997</v>
      </c>
      <c r="I217">
        <v>292.04000000000002</v>
      </c>
      <c r="J217">
        <v>1.37</v>
      </c>
      <c r="K217">
        <v>3247998</v>
      </c>
      <c r="L217" t="s">
        <v>20</v>
      </c>
      <c r="M217" t="s">
        <v>21</v>
      </c>
      <c r="N217" t="s">
        <v>22</v>
      </c>
    </row>
    <row r="218" spans="1:14" x14ac:dyDescent="0.3">
      <c r="A218" s="1">
        <v>45889</v>
      </c>
      <c r="B218" t="s">
        <v>37</v>
      </c>
      <c r="C218" t="s">
        <v>38</v>
      </c>
      <c r="D218" t="s">
        <v>39</v>
      </c>
      <c r="E218" t="s">
        <v>17</v>
      </c>
      <c r="F218" t="s">
        <v>18</v>
      </c>
      <c r="G218" t="s">
        <v>27</v>
      </c>
      <c r="H218">
        <v>292.04000000000002</v>
      </c>
      <c r="I218">
        <v>300.02999999999997</v>
      </c>
      <c r="J218">
        <v>2.74</v>
      </c>
      <c r="K218">
        <v>1325951</v>
      </c>
      <c r="L218" t="s">
        <v>20</v>
      </c>
      <c r="M218" t="s">
        <v>21</v>
      </c>
      <c r="N218" t="s">
        <v>22</v>
      </c>
    </row>
    <row r="219" spans="1:14" x14ac:dyDescent="0.3">
      <c r="A219" s="1">
        <v>45890</v>
      </c>
      <c r="B219" t="s">
        <v>37</v>
      </c>
      <c r="C219" t="s">
        <v>38</v>
      </c>
      <c r="D219" t="s">
        <v>39</v>
      </c>
      <c r="E219" t="s">
        <v>17</v>
      </c>
      <c r="F219" t="s">
        <v>18</v>
      </c>
      <c r="G219" t="s">
        <v>27</v>
      </c>
      <c r="H219">
        <v>300.02999999999997</v>
      </c>
      <c r="I219">
        <v>307.83999999999997</v>
      </c>
      <c r="J219">
        <v>2.6</v>
      </c>
      <c r="K219">
        <v>2834973</v>
      </c>
      <c r="L219" t="s">
        <v>20</v>
      </c>
      <c r="M219" t="s">
        <v>21</v>
      </c>
      <c r="N219" t="s">
        <v>22</v>
      </c>
    </row>
    <row r="220" spans="1:14" x14ac:dyDescent="0.3">
      <c r="A220" s="1">
        <v>45891</v>
      </c>
      <c r="B220" t="s">
        <v>37</v>
      </c>
      <c r="C220" t="s">
        <v>38</v>
      </c>
      <c r="D220" t="s">
        <v>39</v>
      </c>
      <c r="E220" t="s">
        <v>17</v>
      </c>
      <c r="F220" t="s">
        <v>18</v>
      </c>
      <c r="G220" t="s">
        <v>19</v>
      </c>
      <c r="H220">
        <v>307.83999999999997</v>
      </c>
      <c r="I220">
        <v>314.29000000000002</v>
      </c>
      <c r="J220">
        <v>2.1</v>
      </c>
      <c r="K220">
        <v>4461997</v>
      </c>
      <c r="L220" t="s">
        <v>20</v>
      </c>
      <c r="M220" t="s">
        <v>21</v>
      </c>
      <c r="N220" t="s">
        <v>22</v>
      </c>
    </row>
    <row r="221" spans="1:14" x14ac:dyDescent="0.3">
      <c r="A221" s="1">
        <v>45894</v>
      </c>
      <c r="B221" t="s">
        <v>37</v>
      </c>
      <c r="C221" t="s">
        <v>38</v>
      </c>
      <c r="D221" t="s">
        <v>39</v>
      </c>
      <c r="E221" t="s">
        <v>17</v>
      </c>
      <c r="F221" t="s">
        <v>18</v>
      </c>
      <c r="G221" t="s">
        <v>27</v>
      </c>
      <c r="H221">
        <v>314.29000000000002</v>
      </c>
      <c r="I221">
        <v>305.76</v>
      </c>
      <c r="J221">
        <v>-2.71</v>
      </c>
      <c r="K221">
        <v>1344875</v>
      </c>
      <c r="L221" t="s">
        <v>20</v>
      </c>
      <c r="M221" t="s">
        <v>21</v>
      </c>
      <c r="N221" t="s">
        <v>22</v>
      </c>
    </row>
    <row r="222" spans="1:14" x14ac:dyDescent="0.3">
      <c r="A222" s="1">
        <v>45895</v>
      </c>
      <c r="B222" t="s">
        <v>37</v>
      </c>
      <c r="C222" t="s">
        <v>38</v>
      </c>
      <c r="D222" t="s">
        <v>39</v>
      </c>
      <c r="E222" t="s">
        <v>17</v>
      </c>
      <c r="F222" t="s">
        <v>18</v>
      </c>
      <c r="G222" t="s">
        <v>19</v>
      </c>
      <c r="H222">
        <v>305.76</v>
      </c>
      <c r="I222">
        <v>305.24</v>
      </c>
      <c r="J222">
        <v>-0.17</v>
      </c>
      <c r="K222">
        <v>2890057</v>
      </c>
      <c r="L222" t="s">
        <v>20</v>
      </c>
      <c r="M222" t="s">
        <v>21</v>
      </c>
      <c r="N222" t="s">
        <v>22</v>
      </c>
    </row>
    <row r="223" spans="1:14" x14ac:dyDescent="0.3">
      <c r="A223" s="1">
        <v>45896</v>
      </c>
      <c r="B223" t="s">
        <v>37</v>
      </c>
      <c r="C223" t="s">
        <v>38</v>
      </c>
      <c r="D223" t="s">
        <v>39</v>
      </c>
      <c r="E223" t="s">
        <v>17</v>
      </c>
      <c r="F223" t="s">
        <v>18</v>
      </c>
      <c r="G223" t="s">
        <v>27</v>
      </c>
      <c r="H223">
        <v>305.24</v>
      </c>
      <c r="I223">
        <v>307.8</v>
      </c>
      <c r="J223">
        <v>0.84</v>
      </c>
      <c r="K223">
        <v>4526348</v>
      </c>
      <c r="L223" t="s">
        <v>20</v>
      </c>
      <c r="M223" t="s">
        <v>21</v>
      </c>
      <c r="N223" t="s">
        <v>22</v>
      </c>
    </row>
    <row r="224" spans="1:14" x14ac:dyDescent="0.3">
      <c r="A224" s="1">
        <v>45897</v>
      </c>
      <c r="B224" t="s">
        <v>37</v>
      </c>
      <c r="C224" t="s">
        <v>38</v>
      </c>
      <c r="D224" t="s">
        <v>39</v>
      </c>
      <c r="E224" t="s">
        <v>17</v>
      </c>
      <c r="F224" t="s">
        <v>18</v>
      </c>
      <c r="G224" t="s">
        <v>27</v>
      </c>
      <c r="H224">
        <v>307.8</v>
      </c>
      <c r="I224">
        <v>315.63</v>
      </c>
      <c r="J224">
        <v>2.54</v>
      </c>
      <c r="K224">
        <v>4143200</v>
      </c>
      <c r="L224" t="s">
        <v>20</v>
      </c>
      <c r="M224" t="s">
        <v>21</v>
      </c>
      <c r="N224" t="s">
        <v>22</v>
      </c>
    </row>
    <row r="225" spans="1:14" x14ac:dyDescent="0.3">
      <c r="A225" s="1">
        <v>45898</v>
      </c>
      <c r="B225" t="s">
        <v>37</v>
      </c>
      <c r="C225" t="s">
        <v>38</v>
      </c>
      <c r="D225" t="s">
        <v>39</v>
      </c>
      <c r="E225" t="s">
        <v>17</v>
      </c>
      <c r="F225" t="s">
        <v>18</v>
      </c>
      <c r="G225" t="s">
        <v>19</v>
      </c>
      <c r="H225">
        <v>315.63</v>
      </c>
      <c r="I225">
        <v>317.7</v>
      </c>
      <c r="J225">
        <v>0.66</v>
      </c>
      <c r="K225">
        <v>2460709</v>
      </c>
      <c r="L225" t="s">
        <v>20</v>
      </c>
      <c r="M225" t="s">
        <v>21</v>
      </c>
      <c r="N225" t="s">
        <v>22</v>
      </c>
    </row>
    <row r="226" spans="1:14" x14ac:dyDescent="0.3">
      <c r="A226" s="1">
        <v>45901</v>
      </c>
      <c r="B226" t="s">
        <v>37</v>
      </c>
      <c r="C226" t="s">
        <v>38</v>
      </c>
      <c r="D226" t="s">
        <v>39</v>
      </c>
      <c r="E226" t="s">
        <v>17</v>
      </c>
      <c r="F226" t="s">
        <v>18</v>
      </c>
      <c r="G226" t="s">
        <v>23</v>
      </c>
      <c r="H226">
        <v>317.7</v>
      </c>
      <c r="I226">
        <v>322.08999999999997</v>
      </c>
      <c r="J226">
        <v>1.38</v>
      </c>
      <c r="K226">
        <v>875800</v>
      </c>
      <c r="L226" t="s">
        <v>20</v>
      </c>
      <c r="M226" t="s">
        <v>21</v>
      </c>
      <c r="N226" t="s">
        <v>22</v>
      </c>
    </row>
    <row r="227" spans="1:14" x14ac:dyDescent="0.3">
      <c r="A227" s="1">
        <v>45902</v>
      </c>
      <c r="B227" t="s">
        <v>37</v>
      </c>
      <c r="C227" t="s">
        <v>38</v>
      </c>
      <c r="D227" t="s">
        <v>39</v>
      </c>
      <c r="E227" t="s">
        <v>17</v>
      </c>
      <c r="F227" t="s">
        <v>18</v>
      </c>
      <c r="G227" t="s">
        <v>19</v>
      </c>
      <c r="H227">
        <v>322.08999999999997</v>
      </c>
      <c r="I227">
        <v>321.08</v>
      </c>
      <c r="J227">
        <v>-0.32</v>
      </c>
      <c r="K227">
        <v>292827</v>
      </c>
      <c r="L227" t="s">
        <v>20</v>
      </c>
      <c r="M227" t="s">
        <v>21</v>
      </c>
      <c r="N227" t="s">
        <v>22</v>
      </c>
    </row>
    <row r="228" spans="1:14" x14ac:dyDescent="0.3">
      <c r="A228" s="1">
        <v>45903</v>
      </c>
      <c r="B228" t="s">
        <v>37</v>
      </c>
      <c r="C228" t="s">
        <v>38</v>
      </c>
      <c r="D228" t="s">
        <v>39</v>
      </c>
      <c r="E228" t="s">
        <v>17</v>
      </c>
      <c r="F228" t="s">
        <v>18</v>
      </c>
      <c r="G228" t="s">
        <v>19</v>
      </c>
      <c r="H228">
        <v>321.08</v>
      </c>
      <c r="I228">
        <v>317.92</v>
      </c>
      <c r="J228">
        <v>-0.98</v>
      </c>
      <c r="K228">
        <v>3057008</v>
      </c>
      <c r="L228" t="s">
        <v>20</v>
      </c>
      <c r="M228" t="s">
        <v>21</v>
      </c>
      <c r="N228" t="s">
        <v>22</v>
      </c>
    </row>
    <row r="229" spans="1:14" x14ac:dyDescent="0.3">
      <c r="A229" s="1">
        <v>45904</v>
      </c>
      <c r="B229" t="s">
        <v>37</v>
      </c>
      <c r="C229" t="s">
        <v>38</v>
      </c>
      <c r="D229" t="s">
        <v>39</v>
      </c>
      <c r="E229" t="s">
        <v>17</v>
      </c>
      <c r="F229" t="s">
        <v>18</v>
      </c>
      <c r="G229" t="s">
        <v>29</v>
      </c>
      <c r="H229">
        <v>317.92</v>
      </c>
      <c r="I229">
        <v>316.68</v>
      </c>
      <c r="J229">
        <v>-0.39</v>
      </c>
      <c r="K229">
        <v>3506540</v>
      </c>
      <c r="L229" t="s">
        <v>20</v>
      </c>
      <c r="M229" t="s">
        <v>21</v>
      </c>
      <c r="N229" t="s">
        <v>22</v>
      </c>
    </row>
    <row r="230" spans="1:14" x14ac:dyDescent="0.3">
      <c r="A230" s="1">
        <v>45905</v>
      </c>
      <c r="B230" t="s">
        <v>37</v>
      </c>
      <c r="C230" t="s">
        <v>38</v>
      </c>
      <c r="D230" t="s">
        <v>39</v>
      </c>
      <c r="E230" t="s">
        <v>17</v>
      </c>
      <c r="F230" t="s">
        <v>18</v>
      </c>
      <c r="G230" t="s">
        <v>23</v>
      </c>
      <c r="H230">
        <v>316.68</v>
      </c>
      <c r="I230">
        <v>310.83</v>
      </c>
      <c r="J230">
        <v>-1.85</v>
      </c>
      <c r="K230">
        <v>3259014</v>
      </c>
      <c r="L230" t="s">
        <v>20</v>
      </c>
      <c r="M230" t="s">
        <v>21</v>
      </c>
      <c r="N230" t="s">
        <v>22</v>
      </c>
    </row>
    <row r="231" spans="1:14" x14ac:dyDescent="0.3">
      <c r="A231" s="1">
        <v>45908</v>
      </c>
      <c r="B231" t="s">
        <v>37</v>
      </c>
      <c r="C231" t="s">
        <v>38</v>
      </c>
      <c r="D231" t="s">
        <v>39</v>
      </c>
      <c r="E231" t="s">
        <v>17</v>
      </c>
      <c r="F231" t="s">
        <v>18</v>
      </c>
      <c r="G231" t="s">
        <v>23</v>
      </c>
      <c r="H231">
        <v>310.83</v>
      </c>
      <c r="I231">
        <v>310.79000000000002</v>
      </c>
      <c r="J231">
        <v>-0.01</v>
      </c>
      <c r="K231">
        <v>1997737</v>
      </c>
      <c r="L231" t="s">
        <v>20</v>
      </c>
      <c r="M231" t="s">
        <v>21</v>
      </c>
      <c r="N231" t="s">
        <v>22</v>
      </c>
    </row>
    <row r="232" spans="1:14" x14ac:dyDescent="0.3">
      <c r="A232" s="1">
        <v>45909</v>
      </c>
      <c r="B232" t="s">
        <v>37</v>
      </c>
      <c r="C232" t="s">
        <v>38</v>
      </c>
      <c r="D232" t="s">
        <v>39</v>
      </c>
      <c r="E232" t="s">
        <v>17</v>
      </c>
      <c r="F232" t="s">
        <v>18</v>
      </c>
      <c r="G232" t="s">
        <v>27</v>
      </c>
      <c r="H232">
        <v>310.79000000000002</v>
      </c>
      <c r="I232">
        <v>313.19</v>
      </c>
      <c r="J232">
        <v>0.77</v>
      </c>
      <c r="K232">
        <v>128831</v>
      </c>
      <c r="L232" t="s">
        <v>20</v>
      </c>
      <c r="M232" t="s">
        <v>21</v>
      </c>
      <c r="N232" t="s">
        <v>22</v>
      </c>
    </row>
    <row r="233" spans="1:14" x14ac:dyDescent="0.3">
      <c r="A233" s="1">
        <v>45910</v>
      </c>
      <c r="B233" t="s">
        <v>37</v>
      </c>
      <c r="C233" t="s">
        <v>38</v>
      </c>
      <c r="D233" t="s">
        <v>39</v>
      </c>
      <c r="E233" t="s">
        <v>17</v>
      </c>
      <c r="F233" t="s">
        <v>18</v>
      </c>
      <c r="G233" t="s">
        <v>27</v>
      </c>
      <c r="H233">
        <v>313.19</v>
      </c>
      <c r="I233">
        <v>320.23</v>
      </c>
      <c r="J233">
        <v>2.25</v>
      </c>
      <c r="K233">
        <v>1375195</v>
      </c>
      <c r="L233" t="s">
        <v>20</v>
      </c>
      <c r="M233" t="s">
        <v>21</v>
      </c>
      <c r="N233" t="s">
        <v>22</v>
      </c>
    </row>
    <row r="234" spans="1:14" x14ac:dyDescent="0.3">
      <c r="A234" s="1">
        <v>45911</v>
      </c>
      <c r="B234" t="s">
        <v>37</v>
      </c>
      <c r="C234" t="s">
        <v>38</v>
      </c>
      <c r="D234" t="s">
        <v>39</v>
      </c>
      <c r="E234" t="s">
        <v>17</v>
      </c>
      <c r="F234" t="s">
        <v>18</v>
      </c>
      <c r="G234" t="s">
        <v>19</v>
      </c>
      <c r="H234">
        <v>320.23</v>
      </c>
      <c r="I234">
        <v>319.18</v>
      </c>
      <c r="J234">
        <v>-0.33</v>
      </c>
      <c r="K234">
        <v>4978908</v>
      </c>
      <c r="L234" t="s">
        <v>20</v>
      </c>
      <c r="M234" t="s">
        <v>21</v>
      </c>
      <c r="N234" t="s">
        <v>22</v>
      </c>
    </row>
    <row r="235" spans="1:14" x14ac:dyDescent="0.3">
      <c r="A235" s="1">
        <v>45912</v>
      </c>
      <c r="B235" t="s">
        <v>37</v>
      </c>
      <c r="C235" t="s">
        <v>38</v>
      </c>
      <c r="D235" t="s">
        <v>39</v>
      </c>
      <c r="E235" t="s">
        <v>17</v>
      </c>
      <c r="F235" t="s">
        <v>18</v>
      </c>
      <c r="G235" t="s">
        <v>29</v>
      </c>
      <c r="H235">
        <v>319.18</v>
      </c>
      <c r="I235">
        <v>321.67</v>
      </c>
      <c r="J235">
        <v>0.78</v>
      </c>
      <c r="K235">
        <v>2147975</v>
      </c>
      <c r="L235" t="s">
        <v>20</v>
      </c>
      <c r="M235" t="s">
        <v>21</v>
      </c>
      <c r="N235" t="s">
        <v>22</v>
      </c>
    </row>
    <row r="236" spans="1:14" x14ac:dyDescent="0.3">
      <c r="A236" s="1">
        <v>45915</v>
      </c>
      <c r="B236" t="s">
        <v>37</v>
      </c>
      <c r="C236" t="s">
        <v>38</v>
      </c>
      <c r="D236" t="s">
        <v>39</v>
      </c>
      <c r="E236" t="s">
        <v>17</v>
      </c>
      <c r="F236" t="s">
        <v>18</v>
      </c>
      <c r="G236" t="s">
        <v>27</v>
      </c>
      <c r="H236">
        <v>321.67</v>
      </c>
      <c r="I236">
        <v>327.89</v>
      </c>
      <c r="J236">
        <v>1.93</v>
      </c>
      <c r="K236">
        <v>3277040</v>
      </c>
      <c r="L236" t="s">
        <v>20</v>
      </c>
      <c r="M236" t="s">
        <v>21</v>
      </c>
      <c r="N236" t="s">
        <v>22</v>
      </c>
    </row>
    <row r="237" spans="1:14" x14ac:dyDescent="0.3">
      <c r="A237" s="1">
        <v>45916</v>
      </c>
      <c r="B237" t="s">
        <v>37</v>
      </c>
      <c r="C237" t="s">
        <v>38</v>
      </c>
      <c r="D237" t="s">
        <v>39</v>
      </c>
      <c r="E237" t="s">
        <v>17</v>
      </c>
      <c r="F237" t="s">
        <v>18</v>
      </c>
      <c r="G237" t="s">
        <v>27</v>
      </c>
      <c r="H237">
        <v>327.89</v>
      </c>
      <c r="I237">
        <v>320.66000000000003</v>
      </c>
      <c r="J237">
        <v>-2.2000000000000002</v>
      </c>
      <c r="K237">
        <v>3061167</v>
      </c>
      <c r="L237" t="s">
        <v>20</v>
      </c>
      <c r="M237" t="s">
        <v>21</v>
      </c>
      <c r="N237" t="s">
        <v>22</v>
      </c>
    </row>
    <row r="238" spans="1:14" x14ac:dyDescent="0.3">
      <c r="A238" s="1">
        <v>45917</v>
      </c>
      <c r="B238" t="s">
        <v>37</v>
      </c>
      <c r="C238" t="s">
        <v>38</v>
      </c>
      <c r="D238" t="s">
        <v>39</v>
      </c>
      <c r="E238" t="s">
        <v>17</v>
      </c>
      <c r="F238" t="s">
        <v>18</v>
      </c>
      <c r="G238" t="s">
        <v>29</v>
      </c>
      <c r="H238">
        <v>320.66000000000003</v>
      </c>
      <c r="I238">
        <v>329.51</v>
      </c>
      <c r="J238">
        <v>2.76</v>
      </c>
      <c r="K238">
        <v>3370259</v>
      </c>
      <c r="L238" t="s">
        <v>20</v>
      </c>
      <c r="M238" t="s">
        <v>21</v>
      </c>
      <c r="N238" t="s">
        <v>22</v>
      </c>
    </row>
    <row r="239" spans="1:14" x14ac:dyDescent="0.3">
      <c r="A239" s="1">
        <v>45918</v>
      </c>
      <c r="B239" t="s">
        <v>37</v>
      </c>
      <c r="C239" t="s">
        <v>38</v>
      </c>
      <c r="D239" t="s">
        <v>39</v>
      </c>
      <c r="E239" t="s">
        <v>17</v>
      </c>
      <c r="F239" t="s">
        <v>18</v>
      </c>
      <c r="G239" t="s">
        <v>29</v>
      </c>
      <c r="H239">
        <v>329.51</v>
      </c>
      <c r="I239">
        <v>320.43</v>
      </c>
      <c r="J239">
        <v>-2.75</v>
      </c>
      <c r="K239">
        <v>461412</v>
      </c>
      <c r="L239" t="s">
        <v>20</v>
      </c>
      <c r="M239" t="s">
        <v>21</v>
      </c>
      <c r="N239" t="s">
        <v>22</v>
      </c>
    </row>
    <row r="240" spans="1:14" x14ac:dyDescent="0.3">
      <c r="A240" s="1">
        <v>45919</v>
      </c>
      <c r="B240" t="s">
        <v>37</v>
      </c>
      <c r="C240" t="s">
        <v>38</v>
      </c>
      <c r="D240" t="s">
        <v>39</v>
      </c>
      <c r="E240" t="s">
        <v>17</v>
      </c>
      <c r="F240" t="s">
        <v>18</v>
      </c>
      <c r="G240" t="s">
        <v>27</v>
      </c>
      <c r="H240">
        <v>320.43</v>
      </c>
      <c r="I240">
        <v>326.41000000000003</v>
      </c>
      <c r="J240">
        <v>1.86</v>
      </c>
      <c r="K240">
        <v>1980372</v>
      </c>
      <c r="L240" t="s">
        <v>20</v>
      </c>
      <c r="M240" t="s">
        <v>21</v>
      </c>
      <c r="N240" t="s">
        <v>22</v>
      </c>
    </row>
    <row r="241" spans="1:14" x14ac:dyDescent="0.3">
      <c r="A241" s="1">
        <v>45922</v>
      </c>
      <c r="B241" t="s">
        <v>37</v>
      </c>
      <c r="C241" t="s">
        <v>38</v>
      </c>
      <c r="D241" t="s">
        <v>39</v>
      </c>
      <c r="E241" t="s">
        <v>17</v>
      </c>
      <c r="F241" t="s">
        <v>18</v>
      </c>
      <c r="G241" t="s">
        <v>29</v>
      </c>
      <c r="H241">
        <v>326.41000000000003</v>
      </c>
      <c r="I241">
        <v>321.27</v>
      </c>
      <c r="J241">
        <v>-1.57</v>
      </c>
      <c r="K241">
        <v>2152409</v>
      </c>
      <c r="L241" t="s">
        <v>20</v>
      </c>
      <c r="M241" t="s">
        <v>21</v>
      </c>
      <c r="N241" t="s">
        <v>22</v>
      </c>
    </row>
    <row r="242" spans="1:14" x14ac:dyDescent="0.3">
      <c r="A242" s="1">
        <v>45839</v>
      </c>
      <c r="B242" t="s">
        <v>40</v>
      </c>
      <c r="C242" t="s">
        <v>41</v>
      </c>
      <c r="D242" t="s">
        <v>42</v>
      </c>
      <c r="E242" t="s">
        <v>43</v>
      </c>
      <c r="F242" t="s">
        <v>18</v>
      </c>
      <c r="G242" t="s">
        <v>23</v>
      </c>
      <c r="H242">
        <v>515</v>
      </c>
      <c r="I242">
        <v>516.59</v>
      </c>
      <c r="J242">
        <v>0.31</v>
      </c>
      <c r="K242">
        <v>380700</v>
      </c>
      <c r="L242" t="s">
        <v>20</v>
      </c>
      <c r="M242" t="s">
        <v>21</v>
      </c>
      <c r="N242" t="s">
        <v>22</v>
      </c>
    </row>
    <row r="243" spans="1:14" x14ac:dyDescent="0.3">
      <c r="A243" s="1">
        <v>45840</v>
      </c>
      <c r="B243" t="s">
        <v>40</v>
      </c>
      <c r="C243" t="s">
        <v>41</v>
      </c>
      <c r="D243" t="s">
        <v>42</v>
      </c>
      <c r="E243" t="s">
        <v>43</v>
      </c>
      <c r="F243" t="s">
        <v>18</v>
      </c>
      <c r="G243" t="s">
        <v>29</v>
      </c>
      <c r="H243">
        <v>516.59</v>
      </c>
      <c r="I243">
        <v>569.28</v>
      </c>
      <c r="J243">
        <v>10.199999999999999</v>
      </c>
      <c r="K243">
        <v>1152362</v>
      </c>
      <c r="L243" t="s">
        <v>24</v>
      </c>
      <c r="M243" t="s">
        <v>25</v>
      </c>
      <c r="N243" t="s">
        <v>26</v>
      </c>
    </row>
    <row r="244" spans="1:14" x14ac:dyDescent="0.3">
      <c r="A244" s="1">
        <v>45841</v>
      </c>
      <c r="B244" t="s">
        <v>40</v>
      </c>
      <c r="C244" t="s">
        <v>41</v>
      </c>
      <c r="D244" t="s">
        <v>42</v>
      </c>
      <c r="E244" t="s">
        <v>43</v>
      </c>
      <c r="F244" t="s">
        <v>18</v>
      </c>
      <c r="G244" t="s">
        <v>19</v>
      </c>
      <c r="H244">
        <v>569.28</v>
      </c>
      <c r="I244">
        <v>574.87</v>
      </c>
      <c r="J244">
        <v>0.98</v>
      </c>
      <c r="K244">
        <v>3535492</v>
      </c>
      <c r="L244" t="s">
        <v>20</v>
      </c>
      <c r="M244" t="s">
        <v>21</v>
      </c>
      <c r="N244" t="s">
        <v>22</v>
      </c>
    </row>
    <row r="245" spans="1:14" x14ac:dyDescent="0.3">
      <c r="A245" s="1">
        <v>45842</v>
      </c>
      <c r="B245" t="s">
        <v>40</v>
      </c>
      <c r="C245" t="s">
        <v>41</v>
      </c>
      <c r="D245" t="s">
        <v>42</v>
      </c>
      <c r="E245" t="s">
        <v>43</v>
      </c>
      <c r="F245" t="s">
        <v>18</v>
      </c>
      <c r="G245" t="s">
        <v>23</v>
      </c>
      <c r="H245">
        <v>574.87</v>
      </c>
      <c r="I245">
        <v>570.75</v>
      </c>
      <c r="J245">
        <v>-0.72</v>
      </c>
      <c r="K245">
        <v>3119035</v>
      </c>
      <c r="L245" t="s">
        <v>20</v>
      </c>
      <c r="M245" t="s">
        <v>21</v>
      </c>
      <c r="N245" t="s">
        <v>22</v>
      </c>
    </row>
    <row r="246" spans="1:14" x14ac:dyDescent="0.3">
      <c r="A246" s="1">
        <v>45845</v>
      </c>
      <c r="B246" t="s">
        <v>40</v>
      </c>
      <c r="C246" t="s">
        <v>41</v>
      </c>
      <c r="D246" t="s">
        <v>42</v>
      </c>
      <c r="E246" t="s">
        <v>43</v>
      </c>
      <c r="F246" t="s">
        <v>18</v>
      </c>
      <c r="G246" t="s">
        <v>29</v>
      </c>
      <c r="H246">
        <v>570.75</v>
      </c>
      <c r="I246">
        <v>575.27</v>
      </c>
      <c r="J246">
        <v>0.79</v>
      </c>
      <c r="K246">
        <v>4092032</v>
      </c>
      <c r="L246" t="s">
        <v>20</v>
      </c>
      <c r="M246" t="s">
        <v>21</v>
      </c>
      <c r="N246" t="s">
        <v>22</v>
      </c>
    </row>
    <row r="247" spans="1:14" x14ac:dyDescent="0.3">
      <c r="A247" s="1">
        <v>45846</v>
      </c>
      <c r="B247" t="s">
        <v>40</v>
      </c>
      <c r="C247" t="s">
        <v>41</v>
      </c>
      <c r="D247" t="s">
        <v>42</v>
      </c>
      <c r="E247" t="s">
        <v>43</v>
      </c>
      <c r="F247" t="s">
        <v>18</v>
      </c>
      <c r="G247" t="s">
        <v>29</v>
      </c>
      <c r="H247">
        <v>575.27</v>
      </c>
      <c r="I247">
        <v>578.67999999999995</v>
      </c>
      <c r="J247">
        <v>0.59</v>
      </c>
      <c r="K247">
        <v>1016113</v>
      </c>
      <c r="L247" t="s">
        <v>20</v>
      </c>
      <c r="M247" t="s">
        <v>21</v>
      </c>
      <c r="N247" t="s">
        <v>22</v>
      </c>
    </row>
    <row r="248" spans="1:14" x14ac:dyDescent="0.3">
      <c r="A248" s="1">
        <v>45847</v>
      </c>
      <c r="B248" t="s">
        <v>40</v>
      </c>
      <c r="C248" t="s">
        <v>41</v>
      </c>
      <c r="D248" t="s">
        <v>42</v>
      </c>
      <c r="E248" t="s">
        <v>43</v>
      </c>
      <c r="F248" t="s">
        <v>18</v>
      </c>
      <c r="G248" t="s">
        <v>27</v>
      </c>
      <c r="H248">
        <v>578.67999999999995</v>
      </c>
      <c r="I248">
        <v>585.1</v>
      </c>
      <c r="J248">
        <v>1.1100000000000001</v>
      </c>
      <c r="K248">
        <v>1942593</v>
      </c>
      <c r="L248" t="s">
        <v>20</v>
      </c>
      <c r="M248" t="s">
        <v>21</v>
      </c>
      <c r="N248" t="s">
        <v>22</v>
      </c>
    </row>
    <row r="249" spans="1:14" x14ac:dyDescent="0.3">
      <c r="A249" s="1">
        <v>45848</v>
      </c>
      <c r="B249" t="s">
        <v>40</v>
      </c>
      <c r="C249" t="s">
        <v>41</v>
      </c>
      <c r="D249" t="s">
        <v>42</v>
      </c>
      <c r="E249" t="s">
        <v>43</v>
      </c>
      <c r="F249" t="s">
        <v>18</v>
      </c>
      <c r="G249" t="s">
        <v>27</v>
      </c>
      <c r="H249">
        <v>585.1</v>
      </c>
      <c r="I249">
        <v>591.66999999999996</v>
      </c>
      <c r="J249">
        <v>1.1200000000000001</v>
      </c>
      <c r="K249">
        <v>3118343</v>
      </c>
      <c r="L249" t="s">
        <v>20</v>
      </c>
      <c r="M249" t="s">
        <v>21</v>
      </c>
      <c r="N249" t="s">
        <v>22</v>
      </c>
    </row>
    <row r="250" spans="1:14" x14ac:dyDescent="0.3">
      <c r="A250" s="1">
        <v>45849</v>
      </c>
      <c r="B250" t="s">
        <v>40</v>
      </c>
      <c r="C250" t="s">
        <v>41</v>
      </c>
      <c r="D250" t="s">
        <v>42</v>
      </c>
      <c r="E250" t="s">
        <v>43</v>
      </c>
      <c r="F250" t="s">
        <v>18</v>
      </c>
      <c r="G250" t="s">
        <v>19</v>
      </c>
      <c r="H250">
        <v>591.66999999999996</v>
      </c>
      <c r="L250" t="s">
        <v>24</v>
      </c>
      <c r="M250" t="s">
        <v>25</v>
      </c>
      <c r="N250" t="s">
        <v>30</v>
      </c>
    </row>
    <row r="251" spans="1:14" x14ac:dyDescent="0.3">
      <c r="A251" s="1">
        <v>45852</v>
      </c>
      <c r="B251" t="s">
        <v>40</v>
      </c>
      <c r="C251" t="s">
        <v>41</v>
      </c>
      <c r="D251" t="s">
        <v>42</v>
      </c>
      <c r="E251" t="s">
        <v>43</v>
      </c>
      <c r="F251" t="s">
        <v>18</v>
      </c>
      <c r="G251" t="s">
        <v>19</v>
      </c>
      <c r="H251">
        <v>591.66999999999996</v>
      </c>
      <c r="I251">
        <v>591.02</v>
      </c>
      <c r="J251">
        <v>-0.11</v>
      </c>
      <c r="K251">
        <v>2249169</v>
      </c>
      <c r="L251" t="s">
        <v>20</v>
      </c>
      <c r="M251" t="s">
        <v>21</v>
      </c>
      <c r="N251" t="s">
        <v>22</v>
      </c>
    </row>
    <row r="252" spans="1:14" x14ac:dyDescent="0.3">
      <c r="A252" s="1">
        <v>45853</v>
      </c>
      <c r="B252" t="s">
        <v>40</v>
      </c>
      <c r="C252" t="s">
        <v>41</v>
      </c>
      <c r="D252" t="s">
        <v>42</v>
      </c>
      <c r="E252" t="s">
        <v>43</v>
      </c>
      <c r="F252" t="s">
        <v>18</v>
      </c>
      <c r="G252" t="s">
        <v>27</v>
      </c>
      <c r="H252">
        <v>591.02</v>
      </c>
      <c r="I252">
        <v>595.6</v>
      </c>
      <c r="J252">
        <v>0.77</v>
      </c>
      <c r="K252">
        <v>958872</v>
      </c>
      <c r="L252" t="s">
        <v>20</v>
      </c>
      <c r="M252" t="s">
        <v>21</v>
      </c>
      <c r="N252" t="s">
        <v>22</v>
      </c>
    </row>
    <row r="253" spans="1:14" x14ac:dyDescent="0.3">
      <c r="A253" s="1">
        <v>45854</v>
      </c>
      <c r="B253" t="s">
        <v>40</v>
      </c>
      <c r="C253" t="s">
        <v>41</v>
      </c>
      <c r="D253" t="s">
        <v>42</v>
      </c>
      <c r="E253" t="s">
        <v>43</v>
      </c>
      <c r="F253" t="s">
        <v>18</v>
      </c>
      <c r="G253" t="s">
        <v>23</v>
      </c>
      <c r="H253">
        <v>595.6</v>
      </c>
      <c r="I253">
        <v>595.19000000000005</v>
      </c>
      <c r="J253">
        <v>-7.0000000000000007E-2</v>
      </c>
      <c r="K253">
        <v>4759426</v>
      </c>
      <c r="L253" t="s">
        <v>20</v>
      </c>
      <c r="M253" t="s">
        <v>21</v>
      </c>
      <c r="N253" t="s">
        <v>22</v>
      </c>
    </row>
    <row r="254" spans="1:14" x14ac:dyDescent="0.3">
      <c r="A254" s="1">
        <v>45855</v>
      </c>
      <c r="B254" t="s">
        <v>40</v>
      </c>
      <c r="C254" t="s">
        <v>41</v>
      </c>
      <c r="D254" t="s">
        <v>42</v>
      </c>
      <c r="E254" t="s">
        <v>43</v>
      </c>
      <c r="F254" t="s">
        <v>18</v>
      </c>
      <c r="G254" t="s">
        <v>29</v>
      </c>
      <c r="H254">
        <v>595.19000000000005</v>
      </c>
      <c r="I254">
        <v>601.12</v>
      </c>
      <c r="J254">
        <v>1</v>
      </c>
      <c r="K254">
        <v>580302</v>
      </c>
      <c r="L254" t="s">
        <v>20</v>
      </c>
      <c r="M254" t="s">
        <v>21</v>
      </c>
      <c r="N254" t="s">
        <v>22</v>
      </c>
    </row>
    <row r="255" spans="1:14" x14ac:dyDescent="0.3">
      <c r="A255" s="1">
        <v>45856</v>
      </c>
      <c r="B255" t="s">
        <v>40</v>
      </c>
      <c r="C255" t="s">
        <v>41</v>
      </c>
      <c r="D255" t="s">
        <v>42</v>
      </c>
      <c r="E255" t="s">
        <v>43</v>
      </c>
      <c r="F255" t="s">
        <v>18</v>
      </c>
      <c r="G255" t="s">
        <v>27</v>
      </c>
      <c r="H255">
        <v>601.12</v>
      </c>
      <c r="I255">
        <v>607.03</v>
      </c>
      <c r="J255">
        <v>0.98</v>
      </c>
      <c r="K255">
        <v>3475033</v>
      </c>
      <c r="L255" t="s">
        <v>20</v>
      </c>
      <c r="M255" t="s">
        <v>21</v>
      </c>
      <c r="N255" t="s">
        <v>22</v>
      </c>
    </row>
    <row r="256" spans="1:14" x14ac:dyDescent="0.3">
      <c r="A256" s="1">
        <v>45859</v>
      </c>
      <c r="B256" t="s">
        <v>40</v>
      </c>
      <c r="C256" t="s">
        <v>41</v>
      </c>
      <c r="D256" t="s">
        <v>42</v>
      </c>
      <c r="E256" t="s">
        <v>43</v>
      </c>
      <c r="F256" t="s">
        <v>18</v>
      </c>
      <c r="G256" t="s">
        <v>19</v>
      </c>
      <c r="H256">
        <v>607.03</v>
      </c>
      <c r="I256">
        <v>601.78</v>
      </c>
      <c r="J256">
        <v>-0.86</v>
      </c>
      <c r="K256">
        <v>2603195</v>
      </c>
      <c r="L256" t="s">
        <v>20</v>
      </c>
      <c r="M256" t="s">
        <v>21</v>
      </c>
      <c r="N256" t="s">
        <v>22</v>
      </c>
    </row>
    <row r="257" spans="1:14" x14ac:dyDescent="0.3">
      <c r="A257" s="1">
        <v>45860</v>
      </c>
      <c r="B257" t="s">
        <v>40</v>
      </c>
      <c r="C257" t="s">
        <v>41</v>
      </c>
      <c r="D257" t="s">
        <v>42</v>
      </c>
      <c r="E257" t="s">
        <v>43</v>
      </c>
      <c r="F257" t="s">
        <v>18</v>
      </c>
      <c r="G257" t="s">
        <v>27</v>
      </c>
      <c r="H257">
        <v>601.78</v>
      </c>
      <c r="I257">
        <v>596.24</v>
      </c>
      <c r="J257">
        <v>-0.92</v>
      </c>
      <c r="K257">
        <v>4559267</v>
      </c>
      <c r="L257" t="s">
        <v>20</v>
      </c>
      <c r="M257" t="s">
        <v>21</v>
      </c>
      <c r="N257" t="s">
        <v>22</v>
      </c>
    </row>
    <row r="258" spans="1:14" x14ac:dyDescent="0.3">
      <c r="A258" s="1">
        <v>45861</v>
      </c>
      <c r="B258" t="s">
        <v>40</v>
      </c>
      <c r="C258" t="s">
        <v>41</v>
      </c>
      <c r="D258" t="s">
        <v>42</v>
      </c>
      <c r="E258" t="s">
        <v>43</v>
      </c>
      <c r="F258" t="s">
        <v>18</v>
      </c>
      <c r="G258" t="s">
        <v>23</v>
      </c>
      <c r="H258">
        <v>596.24</v>
      </c>
      <c r="I258">
        <v>594.64</v>
      </c>
      <c r="J258">
        <v>-0.27</v>
      </c>
      <c r="K258">
        <v>4581463</v>
      </c>
      <c r="L258" t="s">
        <v>20</v>
      </c>
      <c r="M258" t="s">
        <v>21</v>
      </c>
      <c r="N258" t="s">
        <v>22</v>
      </c>
    </row>
    <row r="259" spans="1:14" x14ac:dyDescent="0.3">
      <c r="A259" s="1">
        <v>45862</v>
      </c>
      <c r="B259" t="s">
        <v>40</v>
      </c>
      <c r="C259" t="s">
        <v>41</v>
      </c>
      <c r="D259" t="s">
        <v>42</v>
      </c>
      <c r="E259" t="s">
        <v>43</v>
      </c>
      <c r="F259" t="s">
        <v>18</v>
      </c>
      <c r="G259" t="s">
        <v>27</v>
      </c>
      <c r="H259">
        <v>594.64</v>
      </c>
      <c r="I259">
        <v>595.89</v>
      </c>
      <c r="J259">
        <v>0.21</v>
      </c>
      <c r="K259">
        <v>3530303</v>
      </c>
      <c r="L259" t="s">
        <v>20</v>
      </c>
      <c r="M259" t="s">
        <v>21</v>
      </c>
      <c r="N259" t="s">
        <v>22</v>
      </c>
    </row>
    <row r="260" spans="1:14" x14ac:dyDescent="0.3">
      <c r="A260" s="1">
        <v>45863</v>
      </c>
      <c r="B260" t="s">
        <v>40</v>
      </c>
      <c r="C260" t="s">
        <v>41</v>
      </c>
      <c r="D260" t="s">
        <v>42</v>
      </c>
      <c r="E260" t="s">
        <v>43</v>
      </c>
      <c r="F260" t="s">
        <v>18</v>
      </c>
      <c r="G260" t="s">
        <v>19</v>
      </c>
      <c r="H260">
        <v>595.89</v>
      </c>
      <c r="I260">
        <v>600.66</v>
      </c>
      <c r="J260">
        <v>0.8</v>
      </c>
      <c r="K260">
        <v>2396630</v>
      </c>
      <c r="L260" t="s">
        <v>20</v>
      </c>
      <c r="M260" t="s">
        <v>21</v>
      </c>
      <c r="N260" t="s">
        <v>22</v>
      </c>
    </row>
    <row r="261" spans="1:14" x14ac:dyDescent="0.3">
      <c r="A261" s="1">
        <v>45866</v>
      </c>
      <c r="B261" t="s">
        <v>40</v>
      </c>
      <c r="C261" t="s">
        <v>41</v>
      </c>
      <c r="D261" t="s">
        <v>42</v>
      </c>
      <c r="E261" t="s">
        <v>43</v>
      </c>
      <c r="F261" t="s">
        <v>18</v>
      </c>
      <c r="G261" t="s">
        <v>19</v>
      </c>
      <c r="H261">
        <v>600.66</v>
      </c>
      <c r="I261">
        <v>603.4</v>
      </c>
      <c r="J261">
        <v>0.46</v>
      </c>
      <c r="K261">
        <v>3780379</v>
      </c>
      <c r="L261" t="s">
        <v>20</v>
      </c>
      <c r="M261" t="s">
        <v>21</v>
      </c>
      <c r="N261" t="s">
        <v>22</v>
      </c>
    </row>
    <row r="262" spans="1:14" x14ac:dyDescent="0.3">
      <c r="A262" s="1">
        <v>45867</v>
      </c>
      <c r="B262" t="s">
        <v>40</v>
      </c>
      <c r="C262" t="s">
        <v>41</v>
      </c>
      <c r="D262" t="s">
        <v>42</v>
      </c>
      <c r="E262" t="s">
        <v>43</v>
      </c>
      <c r="F262" t="s">
        <v>18</v>
      </c>
      <c r="G262" t="s">
        <v>23</v>
      </c>
      <c r="H262">
        <v>603.4</v>
      </c>
      <c r="I262">
        <v>608.54999999999995</v>
      </c>
      <c r="J262">
        <v>0.85</v>
      </c>
      <c r="K262">
        <v>3131428</v>
      </c>
      <c r="L262" t="s">
        <v>20</v>
      </c>
      <c r="M262" t="s">
        <v>21</v>
      </c>
      <c r="N262" t="s">
        <v>22</v>
      </c>
    </row>
    <row r="263" spans="1:14" x14ac:dyDescent="0.3">
      <c r="A263" s="1">
        <v>45868</v>
      </c>
      <c r="B263" t="s">
        <v>40</v>
      </c>
      <c r="C263" t="s">
        <v>41</v>
      </c>
      <c r="D263" t="s">
        <v>42</v>
      </c>
      <c r="E263" t="s">
        <v>43</v>
      </c>
      <c r="F263" t="s">
        <v>18</v>
      </c>
      <c r="G263" t="s">
        <v>29</v>
      </c>
      <c r="H263">
        <v>608.54999999999995</v>
      </c>
      <c r="I263">
        <v>602.13</v>
      </c>
      <c r="J263">
        <v>-1.05</v>
      </c>
      <c r="K263">
        <v>1074749</v>
      </c>
      <c r="L263" t="s">
        <v>20</v>
      </c>
      <c r="M263" t="s">
        <v>21</v>
      </c>
      <c r="N263" t="s">
        <v>22</v>
      </c>
    </row>
    <row r="264" spans="1:14" x14ac:dyDescent="0.3">
      <c r="A264" s="1">
        <v>45869</v>
      </c>
      <c r="B264" t="s">
        <v>40</v>
      </c>
      <c r="C264" t="s">
        <v>41</v>
      </c>
      <c r="D264" t="s">
        <v>42</v>
      </c>
      <c r="E264" t="s">
        <v>43</v>
      </c>
      <c r="F264" t="s">
        <v>18</v>
      </c>
      <c r="G264" t="s">
        <v>27</v>
      </c>
      <c r="H264">
        <v>602.13</v>
      </c>
      <c r="I264">
        <v>596.23</v>
      </c>
      <c r="J264">
        <v>-0.98</v>
      </c>
      <c r="K264">
        <v>229159</v>
      </c>
      <c r="L264" t="s">
        <v>20</v>
      </c>
      <c r="M264" t="s">
        <v>21</v>
      </c>
      <c r="N264" t="s">
        <v>22</v>
      </c>
    </row>
    <row r="265" spans="1:14" x14ac:dyDescent="0.3">
      <c r="A265" s="1">
        <v>45870</v>
      </c>
      <c r="B265" t="s">
        <v>40</v>
      </c>
      <c r="C265" t="s">
        <v>41</v>
      </c>
      <c r="D265" t="s">
        <v>42</v>
      </c>
      <c r="E265" t="s">
        <v>43</v>
      </c>
      <c r="F265" t="s">
        <v>18</v>
      </c>
      <c r="G265" t="s">
        <v>19</v>
      </c>
      <c r="H265">
        <v>596.23</v>
      </c>
      <c r="I265">
        <v>600.34</v>
      </c>
      <c r="J265">
        <v>0.69</v>
      </c>
      <c r="K265">
        <v>1106326</v>
      </c>
      <c r="L265" t="s">
        <v>20</v>
      </c>
      <c r="M265" t="s">
        <v>21</v>
      </c>
      <c r="N265" t="s">
        <v>22</v>
      </c>
    </row>
    <row r="266" spans="1:14" x14ac:dyDescent="0.3">
      <c r="A266" s="1">
        <v>45873</v>
      </c>
      <c r="B266" t="s">
        <v>40</v>
      </c>
      <c r="C266" t="s">
        <v>41</v>
      </c>
      <c r="D266" t="s">
        <v>42</v>
      </c>
      <c r="E266" t="s">
        <v>43</v>
      </c>
      <c r="F266" t="s">
        <v>18</v>
      </c>
      <c r="G266" t="s">
        <v>23</v>
      </c>
      <c r="H266">
        <v>600.34</v>
      </c>
      <c r="I266">
        <v>594.12</v>
      </c>
      <c r="J266">
        <v>-1.04</v>
      </c>
      <c r="K266">
        <v>1787761</v>
      </c>
      <c r="L266" t="s">
        <v>20</v>
      </c>
      <c r="M266" t="s">
        <v>21</v>
      </c>
      <c r="N266" t="s">
        <v>22</v>
      </c>
    </row>
    <row r="267" spans="1:14" x14ac:dyDescent="0.3">
      <c r="A267" s="1">
        <v>45874</v>
      </c>
      <c r="B267" t="s">
        <v>40</v>
      </c>
      <c r="C267" t="s">
        <v>41</v>
      </c>
      <c r="D267" t="s">
        <v>42</v>
      </c>
      <c r="E267" t="s">
        <v>43</v>
      </c>
      <c r="F267" t="s">
        <v>18</v>
      </c>
      <c r="G267" t="s">
        <v>23</v>
      </c>
      <c r="H267">
        <v>594.12</v>
      </c>
      <c r="I267">
        <v>598.58000000000004</v>
      </c>
      <c r="J267">
        <v>0.75</v>
      </c>
      <c r="K267">
        <v>1287774</v>
      </c>
      <c r="L267" t="s">
        <v>20</v>
      </c>
      <c r="M267" t="s">
        <v>21</v>
      </c>
      <c r="N267" t="s">
        <v>22</v>
      </c>
    </row>
    <row r="268" spans="1:14" x14ac:dyDescent="0.3">
      <c r="A268" s="1">
        <v>45875</v>
      </c>
      <c r="B268" t="s">
        <v>40</v>
      </c>
      <c r="C268" t="s">
        <v>41</v>
      </c>
      <c r="D268" t="s">
        <v>42</v>
      </c>
      <c r="E268" t="s">
        <v>43</v>
      </c>
      <c r="F268" t="s">
        <v>18</v>
      </c>
      <c r="G268" t="s">
        <v>19</v>
      </c>
      <c r="H268">
        <v>598.58000000000004</v>
      </c>
      <c r="I268">
        <v>595.39</v>
      </c>
      <c r="J268">
        <v>-0.53</v>
      </c>
      <c r="K268">
        <v>1140453</v>
      </c>
      <c r="L268" t="s">
        <v>20</v>
      </c>
      <c r="M268" t="s">
        <v>21</v>
      </c>
      <c r="N268" t="s">
        <v>22</v>
      </c>
    </row>
    <row r="269" spans="1:14" x14ac:dyDescent="0.3">
      <c r="A269" s="1">
        <v>45876</v>
      </c>
      <c r="B269" t="s">
        <v>40</v>
      </c>
      <c r="C269" t="s">
        <v>41</v>
      </c>
      <c r="D269" t="s">
        <v>42</v>
      </c>
      <c r="E269" t="s">
        <v>43</v>
      </c>
      <c r="F269" t="s">
        <v>18</v>
      </c>
      <c r="G269" t="s">
        <v>29</v>
      </c>
      <c r="H269">
        <v>595.39</v>
      </c>
      <c r="I269">
        <v>599.65</v>
      </c>
      <c r="J269">
        <v>0.72</v>
      </c>
      <c r="K269">
        <v>266259</v>
      </c>
      <c r="L269" t="s">
        <v>20</v>
      </c>
      <c r="M269" t="s">
        <v>21</v>
      </c>
      <c r="N269" t="s">
        <v>22</v>
      </c>
    </row>
    <row r="270" spans="1:14" x14ac:dyDescent="0.3">
      <c r="A270" s="1">
        <v>45877</v>
      </c>
      <c r="B270" t="s">
        <v>40</v>
      </c>
      <c r="C270" t="s">
        <v>41</v>
      </c>
      <c r="D270" t="s">
        <v>42</v>
      </c>
      <c r="E270" t="s">
        <v>43</v>
      </c>
      <c r="F270" t="s">
        <v>18</v>
      </c>
      <c r="G270" t="s">
        <v>23</v>
      </c>
      <c r="H270">
        <v>599.65</v>
      </c>
      <c r="I270">
        <v>592.66999999999996</v>
      </c>
      <c r="J270">
        <v>-1.1599999999999999</v>
      </c>
      <c r="K270">
        <v>2045914</v>
      </c>
      <c r="L270" t="s">
        <v>20</v>
      </c>
      <c r="M270" t="s">
        <v>21</v>
      </c>
      <c r="N270" t="s">
        <v>22</v>
      </c>
    </row>
    <row r="271" spans="1:14" x14ac:dyDescent="0.3">
      <c r="A271" s="1">
        <v>45880</v>
      </c>
      <c r="B271" t="s">
        <v>40</v>
      </c>
      <c r="C271" t="s">
        <v>41</v>
      </c>
      <c r="D271" t="s">
        <v>42</v>
      </c>
      <c r="E271" t="s">
        <v>43</v>
      </c>
      <c r="F271" t="s">
        <v>18</v>
      </c>
      <c r="G271" t="s">
        <v>29</v>
      </c>
      <c r="H271">
        <v>592.66999999999996</v>
      </c>
      <c r="I271">
        <v>585.78</v>
      </c>
      <c r="J271">
        <v>-1.1599999999999999</v>
      </c>
      <c r="K271">
        <v>1113327</v>
      </c>
      <c r="L271" t="s">
        <v>20</v>
      </c>
      <c r="M271" t="s">
        <v>21</v>
      </c>
      <c r="N271" t="s">
        <v>22</v>
      </c>
    </row>
    <row r="272" spans="1:14" x14ac:dyDescent="0.3">
      <c r="A272" s="1">
        <v>45881</v>
      </c>
      <c r="B272" t="s">
        <v>40</v>
      </c>
      <c r="C272" t="s">
        <v>41</v>
      </c>
      <c r="D272" t="s">
        <v>42</v>
      </c>
      <c r="E272" t="s">
        <v>43</v>
      </c>
      <c r="F272" t="s">
        <v>18</v>
      </c>
      <c r="G272" t="s">
        <v>27</v>
      </c>
      <c r="H272">
        <v>585.78</v>
      </c>
      <c r="I272">
        <v>586.15</v>
      </c>
      <c r="J272">
        <v>0.06</v>
      </c>
      <c r="K272">
        <v>4045040</v>
      </c>
      <c r="L272" t="s">
        <v>20</v>
      </c>
      <c r="M272" t="s">
        <v>21</v>
      </c>
      <c r="N272" t="s">
        <v>22</v>
      </c>
    </row>
    <row r="273" spans="1:14" x14ac:dyDescent="0.3">
      <c r="A273" s="1">
        <v>45882</v>
      </c>
      <c r="B273" t="s">
        <v>40</v>
      </c>
      <c r="C273" t="s">
        <v>41</v>
      </c>
      <c r="D273" t="s">
        <v>42</v>
      </c>
      <c r="E273" t="s">
        <v>43</v>
      </c>
      <c r="F273" t="s">
        <v>18</v>
      </c>
      <c r="G273" t="s">
        <v>27</v>
      </c>
      <c r="H273">
        <v>586.15</v>
      </c>
      <c r="I273">
        <v>590.05999999999995</v>
      </c>
      <c r="J273">
        <v>0.67</v>
      </c>
      <c r="K273">
        <v>964811</v>
      </c>
      <c r="L273" t="s">
        <v>20</v>
      </c>
      <c r="M273" t="s">
        <v>21</v>
      </c>
      <c r="N273" t="s">
        <v>22</v>
      </c>
    </row>
    <row r="274" spans="1:14" x14ac:dyDescent="0.3">
      <c r="A274" s="1">
        <v>45883</v>
      </c>
      <c r="B274" t="s">
        <v>40</v>
      </c>
      <c r="C274" t="s">
        <v>41</v>
      </c>
      <c r="D274" t="s">
        <v>42</v>
      </c>
      <c r="E274" t="s">
        <v>43</v>
      </c>
      <c r="F274" t="s">
        <v>18</v>
      </c>
      <c r="G274" t="s">
        <v>27</v>
      </c>
      <c r="H274">
        <v>590.05999999999995</v>
      </c>
      <c r="I274">
        <v>590.11</v>
      </c>
      <c r="J274">
        <v>0.01</v>
      </c>
      <c r="K274">
        <v>413772</v>
      </c>
      <c r="L274" t="s">
        <v>20</v>
      </c>
      <c r="M274" t="s">
        <v>21</v>
      </c>
      <c r="N274" t="s">
        <v>22</v>
      </c>
    </row>
    <row r="275" spans="1:14" x14ac:dyDescent="0.3">
      <c r="A275" s="1">
        <v>45884</v>
      </c>
      <c r="B275" t="s">
        <v>40</v>
      </c>
      <c r="C275" t="s">
        <v>41</v>
      </c>
      <c r="D275" t="s">
        <v>42</v>
      </c>
      <c r="E275" t="s">
        <v>43</v>
      </c>
      <c r="F275" t="s">
        <v>18</v>
      </c>
      <c r="G275" t="s">
        <v>29</v>
      </c>
      <c r="H275">
        <v>590.11</v>
      </c>
      <c r="I275">
        <v>589.52</v>
      </c>
      <c r="J275">
        <v>-0.1</v>
      </c>
      <c r="K275">
        <v>560240</v>
      </c>
      <c r="L275" t="s">
        <v>20</v>
      </c>
      <c r="M275" t="s">
        <v>21</v>
      </c>
      <c r="N275" t="s">
        <v>22</v>
      </c>
    </row>
    <row r="276" spans="1:14" x14ac:dyDescent="0.3">
      <c r="A276" s="1">
        <v>45887</v>
      </c>
      <c r="B276" t="s">
        <v>40</v>
      </c>
      <c r="C276" t="s">
        <v>41</v>
      </c>
      <c r="D276" t="s">
        <v>42</v>
      </c>
      <c r="E276" t="s">
        <v>43</v>
      </c>
      <c r="F276" t="s">
        <v>18</v>
      </c>
      <c r="G276" t="s">
        <v>27</v>
      </c>
      <c r="H276">
        <v>589.52</v>
      </c>
      <c r="I276">
        <v>594.42999999999995</v>
      </c>
      <c r="J276">
        <v>0.83</v>
      </c>
      <c r="K276">
        <v>955649</v>
      </c>
      <c r="L276" t="s">
        <v>20</v>
      </c>
      <c r="M276" t="s">
        <v>21</v>
      </c>
      <c r="N276" t="s">
        <v>22</v>
      </c>
    </row>
    <row r="277" spans="1:14" x14ac:dyDescent="0.3">
      <c r="A277" s="1">
        <v>45888</v>
      </c>
      <c r="B277" t="s">
        <v>40</v>
      </c>
      <c r="C277" t="s">
        <v>41</v>
      </c>
      <c r="D277" t="s">
        <v>42</v>
      </c>
      <c r="E277" t="s">
        <v>43</v>
      </c>
      <c r="F277" t="s">
        <v>18</v>
      </c>
      <c r="G277" t="s">
        <v>27</v>
      </c>
      <c r="H277">
        <v>594.42999999999995</v>
      </c>
      <c r="I277">
        <v>597.46</v>
      </c>
      <c r="J277">
        <v>0.51</v>
      </c>
      <c r="K277">
        <v>727719</v>
      </c>
      <c r="L277" t="s">
        <v>20</v>
      </c>
      <c r="M277" t="s">
        <v>21</v>
      </c>
      <c r="N277" t="s">
        <v>22</v>
      </c>
    </row>
    <row r="278" spans="1:14" x14ac:dyDescent="0.3">
      <c r="A278" s="1">
        <v>45889</v>
      </c>
      <c r="B278" t="s">
        <v>40</v>
      </c>
      <c r="C278" t="s">
        <v>41</v>
      </c>
      <c r="D278" t="s">
        <v>42</v>
      </c>
      <c r="E278" t="s">
        <v>43</v>
      </c>
      <c r="F278" t="s">
        <v>18</v>
      </c>
      <c r="G278" t="s">
        <v>29</v>
      </c>
      <c r="H278">
        <v>597.46</v>
      </c>
      <c r="I278">
        <v>599.02</v>
      </c>
      <c r="J278">
        <v>0.26</v>
      </c>
      <c r="K278">
        <v>2357001</v>
      </c>
      <c r="L278" t="s">
        <v>20</v>
      </c>
      <c r="M278" t="s">
        <v>21</v>
      </c>
      <c r="N278" t="s">
        <v>22</v>
      </c>
    </row>
    <row r="279" spans="1:14" x14ac:dyDescent="0.3">
      <c r="A279" s="1">
        <v>45890</v>
      </c>
      <c r="B279" t="s">
        <v>40</v>
      </c>
      <c r="C279" t="s">
        <v>41</v>
      </c>
      <c r="D279" t="s">
        <v>42</v>
      </c>
      <c r="E279" t="s">
        <v>43</v>
      </c>
      <c r="F279" t="s">
        <v>18</v>
      </c>
      <c r="G279" t="s">
        <v>29</v>
      </c>
      <c r="H279">
        <v>599.02</v>
      </c>
      <c r="I279">
        <v>597.29999999999995</v>
      </c>
      <c r="J279">
        <v>-0.28999999999999998</v>
      </c>
      <c r="K279">
        <v>2523781</v>
      </c>
      <c r="L279" t="s">
        <v>20</v>
      </c>
      <c r="M279" t="s">
        <v>21</v>
      </c>
      <c r="N279" t="s">
        <v>22</v>
      </c>
    </row>
    <row r="280" spans="1:14" x14ac:dyDescent="0.3">
      <c r="A280" s="1">
        <v>45891</v>
      </c>
      <c r="B280" t="s">
        <v>40</v>
      </c>
      <c r="C280" t="s">
        <v>41</v>
      </c>
      <c r="D280" t="s">
        <v>42</v>
      </c>
      <c r="E280" t="s">
        <v>43</v>
      </c>
      <c r="F280" t="s">
        <v>18</v>
      </c>
      <c r="G280" t="s">
        <v>27</v>
      </c>
      <c r="H280">
        <v>597.29999999999995</v>
      </c>
      <c r="I280">
        <v>597.38</v>
      </c>
      <c r="J280">
        <v>0.01</v>
      </c>
      <c r="K280">
        <v>1009774</v>
      </c>
      <c r="L280" t="s">
        <v>20</v>
      </c>
      <c r="M280" t="s">
        <v>21</v>
      </c>
      <c r="N280" t="s">
        <v>22</v>
      </c>
    </row>
    <row r="281" spans="1:14" x14ac:dyDescent="0.3">
      <c r="A281" s="1">
        <v>45894</v>
      </c>
      <c r="B281" t="s">
        <v>40</v>
      </c>
      <c r="C281" t="s">
        <v>41</v>
      </c>
      <c r="D281" t="s">
        <v>42</v>
      </c>
      <c r="E281" t="s">
        <v>43</v>
      </c>
      <c r="F281" t="s">
        <v>18</v>
      </c>
      <c r="G281" t="s">
        <v>23</v>
      </c>
      <c r="H281">
        <v>597.38</v>
      </c>
      <c r="I281">
        <v>596.38</v>
      </c>
      <c r="J281">
        <v>-0.17</v>
      </c>
      <c r="K281">
        <v>3521319</v>
      </c>
      <c r="L281" t="s">
        <v>20</v>
      </c>
      <c r="M281" t="s">
        <v>21</v>
      </c>
      <c r="N281" t="s">
        <v>22</v>
      </c>
    </row>
    <row r="282" spans="1:14" x14ac:dyDescent="0.3">
      <c r="A282" s="1">
        <v>45895</v>
      </c>
      <c r="B282" t="s">
        <v>40</v>
      </c>
      <c r="C282" t="s">
        <v>41</v>
      </c>
      <c r="D282" t="s">
        <v>42</v>
      </c>
      <c r="E282" t="s">
        <v>43</v>
      </c>
      <c r="F282" t="s">
        <v>18</v>
      </c>
      <c r="G282" t="s">
        <v>29</v>
      </c>
      <c r="H282">
        <v>596.38</v>
      </c>
      <c r="I282">
        <v>601.07000000000005</v>
      </c>
      <c r="J282">
        <v>0.79</v>
      </c>
      <c r="K282">
        <v>847637</v>
      </c>
      <c r="L282" t="s">
        <v>20</v>
      </c>
      <c r="M282" t="s">
        <v>21</v>
      </c>
      <c r="N282" t="s">
        <v>22</v>
      </c>
    </row>
    <row r="283" spans="1:14" x14ac:dyDescent="0.3">
      <c r="A283" s="1">
        <v>45896</v>
      </c>
      <c r="B283" t="s">
        <v>40</v>
      </c>
      <c r="C283" t="s">
        <v>41</v>
      </c>
      <c r="D283" t="s">
        <v>42</v>
      </c>
      <c r="E283" t="s">
        <v>43</v>
      </c>
      <c r="F283" t="s">
        <v>18</v>
      </c>
      <c r="G283" t="s">
        <v>29</v>
      </c>
      <c r="H283">
        <v>601.07000000000005</v>
      </c>
      <c r="I283">
        <v>600.01</v>
      </c>
      <c r="J283">
        <v>-0.18</v>
      </c>
      <c r="K283">
        <v>3189864</v>
      </c>
      <c r="L283" t="s">
        <v>20</v>
      </c>
      <c r="M283" t="s">
        <v>21</v>
      </c>
      <c r="N283" t="s">
        <v>22</v>
      </c>
    </row>
    <row r="284" spans="1:14" x14ac:dyDescent="0.3">
      <c r="A284" s="1">
        <v>45897</v>
      </c>
      <c r="B284" t="s">
        <v>40</v>
      </c>
      <c r="C284" t="s">
        <v>41</v>
      </c>
      <c r="D284" t="s">
        <v>42</v>
      </c>
      <c r="E284" t="s">
        <v>43</v>
      </c>
      <c r="F284" t="s">
        <v>18</v>
      </c>
      <c r="G284" t="s">
        <v>23</v>
      </c>
      <c r="H284">
        <v>600.01</v>
      </c>
      <c r="I284">
        <v>602.70000000000005</v>
      </c>
      <c r="J284">
        <v>0.45</v>
      </c>
      <c r="K284">
        <v>815248</v>
      </c>
      <c r="L284" t="s">
        <v>20</v>
      </c>
      <c r="M284" t="s">
        <v>21</v>
      </c>
      <c r="N284" t="s">
        <v>22</v>
      </c>
    </row>
    <row r="285" spans="1:14" x14ac:dyDescent="0.3">
      <c r="A285" s="1">
        <v>45898</v>
      </c>
      <c r="B285" t="s">
        <v>40</v>
      </c>
      <c r="C285" t="s">
        <v>41</v>
      </c>
      <c r="D285" t="s">
        <v>42</v>
      </c>
      <c r="E285" t="s">
        <v>43</v>
      </c>
      <c r="F285" t="s">
        <v>18</v>
      </c>
      <c r="G285" t="s">
        <v>19</v>
      </c>
      <c r="H285">
        <v>602.70000000000005</v>
      </c>
      <c r="I285">
        <v>596.82000000000005</v>
      </c>
      <c r="J285">
        <v>-0.98</v>
      </c>
      <c r="K285">
        <v>3175988</v>
      </c>
      <c r="L285" t="s">
        <v>20</v>
      </c>
      <c r="M285" t="s">
        <v>21</v>
      </c>
      <c r="N285" t="s">
        <v>22</v>
      </c>
    </row>
    <row r="286" spans="1:14" x14ac:dyDescent="0.3">
      <c r="A286" s="1">
        <v>45901</v>
      </c>
      <c r="B286" t="s">
        <v>40</v>
      </c>
      <c r="C286" t="s">
        <v>41</v>
      </c>
      <c r="D286" t="s">
        <v>42</v>
      </c>
      <c r="E286" t="s">
        <v>43</v>
      </c>
      <c r="F286" t="s">
        <v>18</v>
      </c>
      <c r="G286" t="s">
        <v>23</v>
      </c>
      <c r="H286">
        <v>596.82000000000005</v>
      </c>
      <c r="I286">
        <v>597.62</v>
      </c>
      <c r="J286">
        <v>0.14000000000000001</v>
      </c>
      <c r="K286">
        <v>4760928</v>
      </c>
      <c r="L286" t="s">
        <v>20</v>
      </c>
      <c r="M286" t="s">
        <v>21</v>
      </c>
      <c r="N286" t="s">
        <v>22</v>
      </c>
    </row>
    <row r="287" spans="1:14" x14ac:dyDescent="0.3">
      <c r="A287" s="1">
        <v>45902</v>
      </c>
      <c r="B287" t="s">
        <v>40</v>
      </c>
      <c r="C287" t="s">
        <v>41</v>
      </c>
      <c r="D287" t="s">
        <v>42</v>
      </c>
      <c r="E287" t="s">
        <v>43</v>
      </c>
      <c r="F287" t="s">
        <v>18</v>
      </c>
      <c r="G287" t="s">
        <v>29</v>
      </c>
      <c r="H287">
        <v>597.62</v>
      </c>
      <c r="I287">
        <v>600.05999999999995</v>
      </c>
      <c r="J287">
        <v>0.41</v>
      </c>
      <c r="K287">
        <v>3597851</v>
      </c>
      <c r="L287" t="s">
        <v>20</v>
      </c>
      <c r="M287" t="s">
        <v>21</v>
      </c>
      <c r="N287" t="s">
        <v>22</v>
      </c>
    </row>
    <row r="288" spans="1:14" x14ac:dyDescent="0.3">
      <c r="A288" s="1">
        <v>45903</v>
      </c>
      <c r="B288" t="s">
        <v>40</v>
      </c>
      <c r="C288" t="s">
        <v>41</v>
      </c>
      <c r="D288" t="s">
        <v>42</v>
      </c>
      <c r="E288" t="s">
        <v>43</v>
      </c>
      <c r="F288" t="s">
        <v>18</v>
      </c>
      <c r="G288" t="s">
        <v>19</v>
      </c>
      <c r="H288">
        <v>600.05999999999995</v>
      </c>
      <c r="I288">
        <v>606.80999999999995</v>
      </c>
      <c r="J288">
        <v>1.1200000000000001</v>
      </c>
      <c r="K288">
        <v>2999822</v>
      </c>
      <c r="L288" t="s">
        <v>20</v>
      </c>
      <c r="M288" t="s">
        <v>21</v>
      </c>
      <c r="N288" t="s">
        <v>22</v>
      </c>
    </row>
    <row r="289" spans="1:14" x14ac:dyDescent="0.3">
      <c r="A289" s="1">
        <v>45904</v>
      </c>
      <c r="B289" t="s">
        <v>40</v>
      </c>
      <c r="C289" t="s">
        <v>41</v>
      </c>
      <c r="D289" t="s">
        <v>42</v>
      </c>
      <c r="E289" t="s">
        <v>43</v>
      </c>
      <c r="F289" t="s">
        <v>18</v>
      </c>
      <c r="G289" t="s">
        <v>19</v>
      </c>
      <c r="H289">
        <v>606.80999999999995</v>
      </c>
      <c r="I289">
        <v>607.94000000000005</v>
      </c>
      <c r="J289">
        <v>0.19</v>
      </c>
      <c r="K289">
        <v>4094897</v>
      </c>
      <c r="L289" t="s">
        <v>20</v>
      </c>
      <c r="M289" t="s">
        <v>21</v>
      </c>
      <c r="N289" t="s">
        <v>22</v>
      </c>
    </row>
    <row r="290" spans="1:14" x14ac:dyDescent="0.3">
      <c r="A290" s="1">
        <v>45905</v>
      </c>
      <c r="B290" t="s">
        <v>40</v>
      </c>
      <c r="C290" t="s">
        <v>41</v>
      </c>
      <c r="D290" t="s">
        <v>42</v>
      </c>
      <c r="E290" t="s">
        <v>43</v>
      </c>
      <c r="F290" t="s">
        <v>18</v>
      </c>
      <c r="G290" t="s">
        <v>23</v>
      </c>
      <c r="H290">
        <v>607.94000000000005</v>
      </c>
      <c r="I290">
        <v>613.01</v>
      </c>
      <c r="J290">
        <v>0.83</v>
      </c>
      <c r="K290">
        <v>4716293</v>
      </c>
      <c r="L290" t="s">
        <v>20</v>
      </c>
      <c r="M290" t="s">
        <v>21</v>
      </c>
      <c r="N290" t="s">
        <v>22</v>
      </c>
    </row>
    <row r="291" spans="1:14" x14ac:dyDescent="0.3">
      <c r="A291" s="1">
        <v>45908</v>
      </c>
      <c r="B291" t="s">
        <v>40</v>
      </c>
      <c r="C291" t="s">
        <v>41</v>
      </c>
      <c r="D291" t="s">
        <v>42</v>
      </c>
      <c r="E291" t="s">
        <v>43</v>
      </c>
      <c r="F291" t="s">
        <v>18</v>
      </c>
      <c r="G291" t="s">
        <v>29</v>
      </c>
      <c r="H291">
        <v>613.01</v>
      </c>
      <c r="I291">
        <v>607.34</v>
      </c>
      <c r="J291">
        <v>-0.92</v>
      </c>
      <c r="K291">
        <v>1947159</v>
      </c>
      <c r="L291" t="s">
        <v>20</v>
      </c>
      <c r="M291" t="s">
        <v>21</v>
      </c>
      <c r="N291" t="s">
        <v>22</v>
      </c>
    </row>
    <row r="292" spans="1:14" x14ac:dyDescent="0.3">
      <c r="A292" s="1">
        <v>45909</v>
      </c>
      <c r="B292" t="s">
        <v>40</v>
      </c>
      <c r="C292" t="s">
        <v>41</v>
      </c>
      <c r="D292" t="s">
        <v>42</v>
      </c>
      <c r="E292" t="s">
        <v>43</v>
      </c>
      <c r="F292" t="s">
        <v>18</v>
      </c>
      <c r="G292" t="s">
        <v>27</v>
      </c>
      <c r="H292">
        <v>607.34</v>
      </c>
      <c r="I292">
        <v>612.38</v>
      </c>
      <c r="J292">
        <v>0.83</v>
      </c>
      <c r="K292">
        <v>4720271</v>
      </c>
      <c r="L292" t="s">
        <v>20</v>
      </c>
      <c r="M292" t="s">
        <v>21</v>
      </c>
      <c r="N292" t="s">
        <v>22</v>
      </c>
    </row>
    <row r="293" spans="1:14" x14ac:dyDescent="0.3">
      <c r="A293" s="1">
        <v>45910</v>
      </c>
      <c r="B293" t="s">
        <v>40</v>
      </c>
      <c r="C293" t="s">
        <v>41</v>
      </c>
      <c r="D293" t="s">
        <v>42</v>
      </c>
      <c r="E293" t="s">
        <v>43</v>
      </c>
      <c r="F293" t="s">
        <v>18</v>
      </c>
      <c r="G293" t="s">
        <v>19</v>
      </c>
      <c r="H293">
        <v>612.38</v>
      </c>
      <c r="I293">
        <v>613.98</v>
      </c>
      <c r="J293">
        <v>0.26</v>
      </c>
      <c r="K293">
        <v>2293514</v>
      </c>
      <c r="L293" t="s">
        <v>20</v>
      </c>
      <c r="M293" t="s">
        <v>21</v>
      </c>
      <c r="N293" t="s">
        <v>22</v>
      </c>
    </row>
    <row r="294" spans="1:14" x14ac:dyDescent="0.3">
      <c r="A294" s="1">
        <v>45911</v>
      </c>
      <c r="B294" t="s">
        <v>40</v>
      </c>
      <c r="C294" t="s">
        <v>41</v>
      </c>
      <c r="D294" t="s">
        <v>42</v>
      </c>
      <c r="E294" t="s">
        <v>43</v>
      </c>
      <c r="F294" t="s">
        <v>18</v>
      </c>
      <c r="G294" t="s">
        <v>19</v>
      </c>
      <c r="H294">
        <v>613.98</v>
      </c>
      <c r="I294">
        <v>609.27</v>
      </c>
      <c r="J294">
        <v>-0.77</v>
      </c>
      <c r="K294">
        <v>2641951</v>
      </c>
      <c r="L294" t="s">
        <v>20</v>
      </c>
      <c r="M294" t="s">
        <v>21</v>
      </c>
      <c r="N294" t="s">
        <v>22</v>
      </c>
    </row>
    <row r="295" spans="1:14" x14ac:dyDescent="0.3">
      <c r="A295" s="1">
        <v>45912</v>
      </c>
      <c r="B295" t="s">
        <v>40</v>
      </c>
      <c r="C295" t="s">
        <v>41</v>
      </c>
      <c r="D295" t="s">
        <v>42</v>
      </c>
      <c r="E295" t="s">
        <v>43</v>
      </c>
      <c r="F295" t="s">
        <v>18</v>
      </c>
      <c r="G295" t="s">
        <v>29</v>
      </c>
      <c r="H295">
        <v>609.27</v>
      </c>
      <c r="I295">
        <v>607.09</v>
      </c>
      <c r="J295">
        <v>-0.36</v>
      </c>
      <c r="K295">
        <v>1251680</v>
      </c>
      <c r="L295" t="s">
        <v>20</v>
      </c>
      <c r="M295" t="s">
        <v>21</v>
      </c>
      <c r="N295" t="s">
        <v>22</v>
      </c>
    </row>
    <row r="296" spans="1:14" x14ac:dyDescent="0.3">
      <c r="A296" s="1">
        <v>45915</v>
      </c>
      <c r="B296" t="s">
        <v>40</v>
      </c>
      <c r="C296" t="s">
        <v>41</v>
      </c>
      <c r="D296" t="s">
        <v>42</v>
      </c>
      <c r="E296" t="s">
        <v>43</v>
      </c>
      <c r="F296" t="s">
        <v>18</v>
      </c>
      <c r="G296" t="s">
        <v>27</v>
      </c>
      <c r="H296">
        <v>607.09</v>
      </c>
      <c r="I296">
        <v>600.82000000000005</v>
      </c>
      <c r="J296">
        <v>-1.03</v>
      </c>
      <c r="K296">
        <v>307170</v>
      </c>
      <c r="L296" t="s">
        <v>20</v>
      </c>
      <c r="M296" t="s">
        <v>21</v>
      </c>
      <c r="N296" t="s">
        <v>22</v>
      </c>
    </row>
    <row r="297" spans="1:14" x14ac:dyDescent="0.3">
      <c r="A297" s="1">
        <v>45916</v>
      </c>
      <c r="B297" t="s">
        <v>40</v>
      </c>
      <c r="C297" t="s">
        <v>41</v>
      </c>
      <c r="D297" t="s">
        <v>42</v>
      </c>
      <c r="E297" t="s">
        <v>43</v>
      </c>
      <c r="F297" t="s">
        <v>18</v>
      </c>
      <c r="G297" t="s">
        <v>19</v>
      </c>
      <c r="H297">
        <v>600.82000000000005</v>
      </c>
      <c r="I297">
        <v>604.37</v>
      </c>
      <c r="J297">
        <v>0.59</v>
      </c>
      <c r="K297">
        <v>3571810</v>
      </c>
      <c r="L297" t="s">
        <v>20</v>
      </c>
      <c r="M297" t="s">
        <v>21</v>
      </c>
      <c r="N297" t="s">
        <v>22</v>
      </c>
    </row>
    <row r="298" spans="1:14" x14ac:dyDescent="0.3">
      <c r="A298" s="1">
        <v>45917</v>
      </c>
      <c r="B298" t="s">
        <v>40</v>
      </c>
      <c r="C298" t="s">
        <v>41</v>
      </c>
      <c r="D298" t="s">
        <v>42</v>
      </c>
      <c r="E298" t="s">
        <v>43</v>
      </c>
      <c r="F298" t="s">
        <v>18</v>
      </c>
      <c r="G298" t="s">
        <v>27</v>
      </c>
      <c r="H298">
        <v>604.37</v>
      </c>
      <c r="I298">
        <v>602.05999999999995</v>
      </c>
      <c r="J298">
        <v>-0.38</v>
      </c>
      <c r="K298">
        <v>2771120</v>
      </c>
      <c r="L298" t="s">
        <v>20</v>
      </c>
      <c r="M298" t="s">
        <v>21</v>
      </c>
      <c r="N298" t="s">
        <v>22</v>
      </c>
    </row>
    <row r="299" spans="1:14" x14ac:dyDescent="0.3">
      <c r="A299" s="1">
        <v>45918</v>
      </c>
      <c r="B299" t="s">
        <v>40</v>
      </c>
      <c r="C299" t="s">
        <v>41</v>
      </c>
      <c r="D299" t="s">
        <v>42</v>
      </c>
      <c r="E299" t="s">
        <v>43</v>
      </c>
      <c r="F299" t="s">
        <v>18</v>
      </c>
      <c r="G299" t="s">
        <v>19</v>
      </c>
      <c r="H299">
        <v>602.05999999999995</v>
      </c>
      <c r="I299">
        <v>607.6</v>
      </c>
      <c r="J299">
        <v>0.92</v>
      </c>
      <c r="K299">
        <v>467438</v>
      </c>
      <c r="L299" t="s">
        <v>20</v>
      </c>
      <c r="M299" t="s">
        <v>21</v>
      </c>
      <c r="N299" t="s">
        <v>22</v>
      </c>
    </row>
    <row r="300" spans="1:14" x14ac:dyDescent="0.3">
      <c r="A300" s="1">
        <v>45919</v>
      </c>
      <c r="B300" t="s">
        <v>40</v>
      </c>
      <c r="C300" t="s">
        <v>41</v>
      </c>
      <c r="D300" t="s">
        <v>42</v>
      </c>
      <c r="E300" t="s">
        <v>43</v>
      </c>
      <c r="F300" t="s">
        <v>18</v>
      </c>
      <c r="G300" t="s">
        <v>19</v>
      </c>
      <c r="H300">
        <v>607.6</v>
      </c>
      <c r="I300">
        <v>604.28</v>
      </c>
      <c r="J300">
        <v>-0.55000000000000004</v>
      </c>
      <c r="K300">
        <v>4124025</v>
      </c>
      <c r="L300" t="s">
        <v>20</v>
      </c>
      <c r="M300" t="s">
        <v>21</v>
      </c>
      <c r="N300" t="s">
        <v>22</v>
      </c>
    </row>
    <row r="301" spans="1:14" x14ac:dyDescent="0.3">
      <c r="A301" s="1">
        <v>45922</v>
      </c>
      <c r="B301" t="s">
        <v>40</v>
      </c>
      <c r="C301" t="s">
        <v>41</v>
      </c>
      <c r="D301" t="s">
        <v>42</v>
      </c>
      <c r="E301" t="s">
        <v>43</v>
      </c>
      <c r="F301" t="s">
        <v>18</v>
      </c>
      <c r="G301" t="s">
        <v>27</v>
      </c>
      <c r="H301">
        <v>604.28</v>
      </c>
      <c r="I301">
        <v>603.03</v>
      </c>
      <c r="J301">
        <v>-0.21</v>
      </c>
      <c r="K301">
        <v>4347872</v>
      </c>
      <c r="L301" t="s">
        <v>20</v>
      </c>
      <c r="M301" t="s">
        <v>21</v>
      </c>
      <c r="N301" t="s">
        <v>22</v>
      </c>
    </row>
    <row r="302" spans="1:14" x14ac:dyDescent="0.3">
      <c r="A302" s="1">
        <v>45839</v>
      </c>
      <c r="B302" t="s">
        <v>44</v>
      </c>
      <c r="C302" t="s">
        <v>45</v>
      </c>
      <c r="D302" t="s">
        <v>46</v>
      </c>
      <c r="E302" t="s">
        <v>43</v>
      </c>
      <c r="F302" t="s">
        <v>18</v>
      </c>
      <c r="G302" t="s">
        <v>19</v>
      </c>
      <c r="H302">
        <v>440</v>
      </c>
      <c r="I302">
        <v>438.37</v>
      </c>
      <c r="J302">
        <v>-0.37</v>
      </c>
      <c r="K302">
        <v>4132171</v>
      </c>
      <c r="L302" t="s">
        <v>20</v>
      </c>
      <c r="M302" t="s">
        <v>21</v>
      </c>
      <c r="N302" t="s">
        <v>22</v>
      </c>
    </row>
    <row r="303" spans="1:14" x14ac:dyDescent="0.3">
      <c r="A303" s="1">
        <v>45840</v>
      </c>
      <c r="B303" t="s">
        <v>44</v>
      </c>
      <c r="C303" t="s">
        <v>45</v>
      </c>
      <c r="D303" t="s">
        <v>46</v>
      </c>
      <c r="E303" t="s">
        <v>43</v>
      </c>
      <c r="F303" t="s">
        <v>18</v>
      </c>
      <c r="G303" t="s">
        <v>29</v>
      </c>
      <c r="H303">
        <v>438.37</v>
      </c>
      <c r="I303">
        <v>433.58</v>
      </c>
      <c r="J303">
        <v>-1.0900000000000001</v>
      </c>
      <c r="K303">
        <v>509544</v>
      </c>
      <c r="L303" t="s">
        <v>20</v>
      </c>
      <c r="M303" t="s">
        <v>21</v>
      </c>
      <c r="N303" t="s">
        <v>22</v>
      </c>
    </row>
    <row r="304" spans="1:14" x14ac:dyDescent="0.3">
      <c r="A304" s="1">
        <v>45841</v>
      </c>
      <c r="B304" t="s">
        <v>44</v>
      </c>
      <c r="C304" t="s">
        <v>45</v>
      </c>
      <c r="D304" t="s">
        <v>46</v>
      </c>
      <c r="E304" t="s">
        <v>43</v>
      </c>
      <c r="F304" t="s">
        <v>18</v>
      </c>
      <c r="G304" t="s">
        <v>19</v>
      </c>
      <c r="H304">
        <v>433.58</v>
      </c>
      <c r="I304">
        <v>430.51</v>
      </c>
      <c r="J304">
        <v>-0.71</v>
      </c>
      <c r="K304">
        <v>1201208</v>
      </c>
      <c r="L304" t="s">
        <v>20</v>
      </c>
      <c r="M304" t="s">
        <v>21</v>
      </c>
      <c r="N304" t="s">
        <v>22</v>
      </c>
    </row>
    <row r="305" spans="1:14" x14ac:dyDescent="0.3">
      <c r="A305" s="1">
        <v>45842</v>
      </c>
      <c r="B305" t="s">
        <v>44</v>
      </c>
      <c r="C305" t="s">
        <v>45</v>
      </c>
      <c r="D305" t="s">
        <v>46</v>
      </c>
      <c r="E305" t="s">
        <v>43</v>
      </c>
      <c r="F305" t="s">
        <v>18</v>
      </c>
      <c r="G305" t="s">
        <v>29</v>
      </c>
      <c r="H305">
        <v>430.51</v>
      </c>
      <c r="I305">
        <v>428.33</v>
      </c>
      <c r="J305">
        <v>-0.51</v>
      </c>
      <c r="K305">
        <v>4222370</v>
      </c>
      <c r="L305" t="s">
        <v>20</v>
      </c>
      <c r="M305" t="s">
        <v>21</v>
      </c>
      <c r="N305" t="s">
        <v>22</v>
      </c>
    </row>
    <row r="306" spans="1:14" x14ac:dyDescent="0.3">
      <c r="A306" s="1">
        <v>45845</v>
      </c>
      <c r="B306" t="s">
        <v>44</v>
      </c>
      <c r="C306" t="s">
        <v>45</v>
      </c>
      <c r="D306" t="s">
        <v>46</v>
      </c>
      <c r="E306" t="s">
        <v>43</v>
      </c>
      <c r="F306" t="s">
        <v>18</v>
      </c>
      <c r="G306" t="s">
        <v>27</v>
      </c>
      <c r="H306">
        <v>428.33</v>
      </c>
      <c r="I306">
        <v>425</v>
      </c>
      <c r="J306">
        <v>-0.78</v>
      </c>
      <c r="K306">
        <v>1980308</v>
      </c>
      <c r="L306" t="s">
        <v>20</v>
      </c>
      <c r="M306" t="s">
        <v>21</v>
      </c>
      <c r="N306" t="s">
        <v>22</v>
      </c>
    </row>
    <row r="307" spans="1:14" x14ac:dyDescent="0.3">
      <c r="A307" s="1">
        <v>45846</v>
      </c>
      <c r="B307" t="s">
        <v>44</v>
      </c>
      <c r="C307" t="s">
        <v>45</v>
      </c>
      <c r="D307" t="s">
        <v>46</v>
      </c>
      <c r="E307" t="s">
        <v>43</v>
      </c>
      <c r="F307" t="s">
        <v>18</v>
      </c>
      <c r="G307" t="s">
        <v>29</v>
      </c>
      <c r="H307">
        <v>425</v>
      </c>
      <c r="I307">
        <v>420.63</v>
      </c>
      <c r="J307">
        <v>-1.03</v>
      </c>
      <c r="K307">
        <v>404857</v>
      </c>
      <c r="L307" t="s">
        <v>20</v>
      </c>
      <c r="M307" t="s">
        <v>21</v>
      </c>
      <c r="N307" t="s">
        <v>22</v>
      </c>
    </row>
    <row r="308" spans="1:14" x14ac:dyDescent="0.3">
      <c r="A308" s="1">
        <v>45847</v>
      </c>
      <c r="B308" t="s">
        <v>44</v>
      </c>
      <c r="C308" t="s">
        <v>45</v>
      </c>
      <c r="D308" t="s">
        <v>46</v>
      </c>
      <c r="E308" t="s">
        <v>43</v>
      </c>
      <c r="F308" t="s">
        <v>18</v>
      </c>
      <c r="G308" t="s">
        <v>27</v>
      </c>
      <c r="H308">
        <v>420.63</v>
      </c>
      <c r="I308">
        <v>415.77</v>
      </c>
      <c r="J308">
        <v>-1.1599999999999999</v>
      </c>
      <c r="K308">
        <v>2676142</v>
      </c>
      <c r="L308" t="s">
        <v>20</v>
      </c>
      <c r="M308" t="s">
        <v>21</v>
      </c>
      <c r="N308" t="s">
        <v>22</v>
      </c>
    </row>
    <row r="309" spans="1:14" x14ac:dyDescent="0.3">
      <c r="A309" s="1">
        <v>45848</v>
      </c>
      <c r="B309" t="s">
        <v>44</v>
      </c>
      <c r="C309" t="s">
        <v>45</v>
      </c>
      <c r="D309" t="s">
        <v>46</v>
      </c>
      <c r="E309" t="s">
        <v>43</v>
      </c>
      <c r="F309" t="s">
        <v>18</v>
      </c>
      <c r="G309" t="s">
        <v>27</v>
      </c>
      <c r="H309">
        <v>415.77</v>
      </c>
      <c r="I309">
        <v>416.51</v>
      </c>
      <c r="J309">
        <v>0.18</v>
      </c>
      <c r="K309">
        <v>3553870</v>
      </c>
      <c r="L309" t="s">
        <v>20</v>
      </c>
      <c r="M309" t="s">
        <v>21</v>
      </c>
      <c r="N309" t="s">
        <v>22</v>
      </c>
    </row>
    <row r="310" spans="1:14" x14ac:dyDescent="0.3">
      <c r="A310" s="1">
        <v>45849</v>
      </c>
      <c r="B310" t="s">
        <v>44</v>
      </c>
      <c r="C310" t="s">
        <v>45</v>
      </c>
      <c r="D310" t="s">
        <v>46</v>
      </c>
      <c r="E310" t="s">
        <v>43</v>
      </c>
      <c r="F310" t="s">
        <v>18</v>
      </c>
      <c r="G310" t="s">
        <v>29</v>
      </c>
      <c r="H310">
        <v>416.51</v>
      </c>
      <c r="I310">
        <v>458.99</v>
      </c>
      <c r="J310">
        <v>10.199999999999999</v>
      </c>
      <c r="K310">
        <v>1491776</v>
      </c>
      <c r="L310" t="s">
        <v>24</v>
      </c>
      <c r="M310" t="s">
        <v>25</v>
      </c>
      <c r="N310" t="s">
        <v>26</v>
      </c>
    </row>
    <row r="311" spans="1:14" x14ac:dyDescent="0.3">
      <c r="A311" s="1">
        <v>45852</v>
      </c>
      <c r="B311" t="s">
        <v>44</v>
      </c>
      <c r="C311" t="s">
        <v>45</v>
      </c>
      <c r="D311" t="s">
        <v>46</v>
      </c>
      <c r="E311" t="s">
        <v>43</v>
      </c>
      <c r="F311" t="s">
        <v>18</v>
      </c>
      <c r="G311" t="s">
        <v>27</v>
      </c>
      <c r="H311">
        <v>458.99</v>
      </c>
      <c r="I311">
        <v>462.65</v>
      </c>
      <c r="J311">
        <v>0.8</v>
      </c>
      <c r="K311">
        <v>789287</v>
      </c>
      <c r="L311" t="s">
        <v>20</v>
      </c>
      <c r="M311" t="s">
        <v>21</v>
      </c>
      <c r="N311" t="s">
        <v>22</v>
      </c>
    </row>
    <row r="312" spans="1:14" x14ac:dyDescent="0.3">
      <c r="A312" s="1">
        <v>45853</v>
      </c>
      <c r="B312" t="s">
        <v>44</v>
      </c>
      <c r="C312" t="s">
        <v>45</v>
      </c>
      <c r="D312" t="s">
        <v>46</v>
      </c>
      <c r="E312" t="s">
        <v>43</v>
      </c>
      <c r="F312" t="s">
        <v>18</v>
      </c>
      <c r="G312" t="s">
        <v>27</v>
      </c>
      <c r="H312">
        <v>462.65</v>
      </c>
      <c r="I312">
        <v>466.47</v>
      </c>
      <c r="J312">
        <v>0.83</v>
      </c>
      <c r="K312">
        <v>4989810</v>
      </c>
      <c r="L312" t="s">
        <v>20</v>
      </c>
      <c r="M312" t="s">
        <v>21</v>
      </c>
      <c r="N312" t="s">
        <v>22</v>
      </c>
    </row>
    <row r="313" spans="1:14" x14ac:dyDescent="0.3">
      <c r="A313" s="1">
        <v>45854</v>
      </c>
      <c r="B313" t="s">
        <v>44</v>
      </c>
      <c r="C313" t="s">
        <v>45</v>
      </c>
      <c r="D313" t="s">
        <v>46</v>
      </c>
      <c r="E313" t="s">
        <v>43</v>
      </c>
      <c r="F313" t="s">
        <v>18</v>
      </c>
      <c r="G313" t="s">
        <v>27</v>
      </c>
      <c r="H313">
        <v>466.47</v>
      </c>
      <c r="I313">
        <v>466.74</v>
      </c>
      <c r="J313">
        <v>0.06</v>
      </c>
      <c r="K313">
        <v>2652771</v>
      </c>
      <c r="L313" t="s">
        <v>20</v>
      </c>
      <c r="M313" t="s">
        <v>21</v>
      </c>
      <c r="N313" t="s">
        <v>22</v>
      </c>
    </row>
    <row r="314" spans="1:14" x14ac:dyDescent="0.3">
      <c r="A314" s="1">
        <v>45855</v>
      </c>
      <c r="B314" t="s">
        <v>44</v>
      </c>
      <c r="C314" t="s">
        <v>45</v>
      </c>
      <c r="D314" t="s">
        <v>46</v>
      </c>
      <c r="E314" t="s">
        <v>43</v>
      </c>
      <c r="F314" t="s">
        <v>18</v>
      </c>
      <c r="G314" t="s">
        <v>29</v>
      </c>
      <c r="H314">
        <v>466.74</v>
      </c>
      <c r="I314">
        <v>463.62</v>
      </c>
      <c r="J314">
        <v>-0.67</v>
      </c>
      <c r="K314">
        <v>690716</v>
      </c>
      <c r="L314" t="s">
        <v>20</v>
      </c>
      <c r="M314" t="s">
        <v>21</v>
      </c>
      <c r="N314" t="s">
        <v>22</v>
      </c>
    </row>
    <row r="315" spans="1:14" x14ac:dyDescent="0.3">
      <c r="A315" s="1">
        <v>45856</v>
      </c>
      <c r="B315" t="s">
        <v>44</v>
      </c>
      <c r="C315" t="s">
        <v>45</v>
      </c>
      <c r="D315" t="s">
        <v>46</v>
      </c>
      <c r="E315" t="s">
        <v>43</v>
      </c>
      <c r="F315" t="s">
        <v>18</v>
      </c>
      <c r="G315" t="s">
        <v>19</v>
      </c>
      <c r="H315">
        <v>463.62</v>
      </c>
      <c r="I315">
        <v>463.96</v>
      </c>
      <c r="J315">
        <v>7.0000000000000007E-2</v>
      </c>
      <c r="K315">
        <v>2980772</v>
      </c>
      <c r="L315" t="s">
        <v>20</v>
      </c>
      <c r="M315" t="s">
        <v>21</v>
      </c>
      <c r="N315" t="s">
        <v>22</v>
      </c>
    </row>
    <row r="316" spans="1:14" x14ac:dyDescent="0.3">
      <c r="A316" s="1">
        <v>45859</v>
      </c>
      <c r="B316" t="s">
        <v>44</v>
      </c>
      <c r="C316" t="s">
        <v>45</v>
      </c>
      <c r="D316" t="s">
        <v>46</v>
      </c>
      <c r="E316" t="s">
        <v>43</v>
      </c>
      <c r="F316" t="s">
        <v>18</v>
      </c>
      <c r="G316" t="s">
        <v>29</v>
      </c>
      <c r="H316">
        <v>463.96</v>
      </c>
      <c r="I316">
        <v>466.49</v>
      </c>
      <c r="J316">
        <v>0.55000000000000004</v>
      </c>
      <c r="K316">
        <v>1288912</v>
      </c>
      <c r="L316" t="s">
        <v>20</v>
      </c>
      <c r="M316" t="s">
        <v>21</v>
      </c>
      <c r="N316" t="s">
        <v>22</v>
      </c>
    </row>
    <row r="317" spans="1:14" x14ac:dyDescent="0.3">
      <c r="A317" s="1">
        <v>45860</v>
      </c>
      <c r="B317" t="s">
        <v>44</v>
      </c>
      <c r="C317" t="s">
        <v>45</v>
      </c>
      <c r="D317" t="s">
        <v>46</v>
      </c>
      <c r="E317" t="s">
        <v>43</v>
      </c>
      <c r="F317" t="s">
        <v>18</v>
      </c>
      <c r="G317" t="s">
        <v>23</v>
      </c>
      <c r="H317">
        <v>466.49</v>
      </c>
      <c r="I317">
        <v>462.05</v>
      </c>
      <c r="J317">
        <v>-0.95</v>
      </c>
      <c r="K317">
        <v>1505415</v>
      </c>
      <c r="L317" t="s">
        <v>20</v>
      </c>
      <c r="M317" t="s">
        <v>21</v>
      </c>
      <c r="N317" t="s">
        <v>22</v>
      </c>
    </row>
    <row r="318" spans="1:14" x14ac:dyDescent="0.3">
      <c r="A318" s="1">
        <v>45861</v>
      </c>
      <c r="B318" t="s">
        <v>44</v>
      </c>
      <c r="C318" t="s">
        <v>45</v>
      </c>
      <c r="D318" t="s">
        <v>46</v>
      </c>
      <c r="E318" t="s">
        <v>43</v>
      </c>
      <c r="F318" t="s">
        <v>18</v>
      </c>
      <c r="G318" t="s">
        <v>23</v>
      </c>
      <c r="H318">
        <v>462.05</v>
      </c>
      <c r="I318">
        <v>464.93</v>
      </c>
      <c r="J318">
        <v>0.62</v>
      </c>
      <c r="K318">
        <v>1536009</v>
      </c>
      <c r="L318" t="s">
        <v>20</v>
      </c>
      <c r="M318" t="s">
        <v>21</v>
      </c>
      <c r="N318" t="s">
        <v>22</v>
      </c>
    </row>
    <row r="319" spans="1:14" x14ac:dyDescent="0.3">
      <c r="A319" s="1">
        <v>45862</v>
      </c>
      <c r="B319" t="s">
        <v>44</v>
      </c>
      <c r="C319" t="s">
        <v>45</v>
      </c>
      <c r="D319" t="s">
        <v>46</v>
      </c>
      <c r="E319" t="s">
        <v>43</v>
      </c>
      <c r="F319" t="s">
        <v>18</v>
      </c>
      <c r="G319" t="s">
        <v>27</v>
      </c>
      <c r="H319">
        <v>464.93</v>
      </c>
      <c r="I319">
        <v>464.53</v>
      </c>
      <c r="J319">
        <v>-0.09</v>
      </c>
      <c r="K319">
        <v>4910930</v>
      </c>
      <c r="L319" t="s">
        <v>20</v>
      </c>
      <c r="M319" t="s">
        <v>21</v>
      </c>
      <c r="N319" t="s">
        <v>22</v>
      </c>
    </row>
    <row r="320" spans="1:14" x14ac:dyDescent="0.3">
      <c r="A320" s="1">
        <v>45863</v>
      </c>
      <c r="B320" t="s">
        <v>44</v>
      </c>
      <c r="C320" t="s">
        <v>45</v>
      </c>
      <c r="D320" t="s">
        <v>46</v>
      </c>
      <c r="E320" t="s">
        <v>43</v>
      </c>
      <c r="F320" t="s">
        <v>18</v>
      </c>
      <c r="G320" t="s">
        <v>27</v>
      </c>
      <c r="H320">
        <v>464.53</v>
      </c>
      <c r="I320">
        <v>466.55</v>
      </c>
      <c r="J320">
        <v>0.43</v>
      </c>
      <c r="K320">
        <v>2761267</v>
      </c>
      <c r="L320" t="s">
        <v>20</v>
      </c>
      <c r="M320" t="s">
        <v>21</v>
      </c>
      <c r="N320" t="s">
        <v>22</v>
      </c>
    </row>
    <row r="321" spans="1:14" x14ac:dyDescent="0.3">
      <c r="A321" s="1">
        <v>45866</v>
      </c>
      <c r="B321" t="s">
        <v>44</v>
      </c>
      <c r="C321" t="s">
        <v>45</v>
      </c>
      <c r="D321" t="s">
        <v>46</v>
      </c>
      <c r="E321" t="s">
        <v>43</v>
      </c>
      <c r="F321" t="s">
        <v>18</v>
      </c>
      <c r="G321" t="s">
        <v>29</v>
      </c>
      <c r="H321">
        <v>466.55</v>
      </c>
      <c r="I321">
        <v>462.64</v>
      </c>
      <c r="J321">
        <v>-0.84</v>
      </c>
      <c r="K321">
        <v>3759510</v>
      </c>
      <c r="L321" t="s">
        <v>20</v>
      </c>
      <c r="M321" t="s">
        <v>21</v>
      </c>
      <c r="N321" t="s">
        <v>22</v>
      </c>
    </row>
    <row r="322" spans="1:14" x14ac:dyDescent="0.3">
      <c r="A322" s="1">
        <v>45867</v>
      </c>
      <c r="B322" t="s">
        <v>44</v>
      </c>
      <c r="C322" t="s">
        <v>45</v>
      </c>
      <c r="D322" t="s">
        <v>46</v>
      </c>
      <c r="E322" t="s">
        <v>43</v>
      </c>
      <c r="F322" t="s">
        <v>18</v>
      </c>
      <c r="G322" t="s">
        <v>29</v>
      </c>
      <c r="H322">
        <v>462.64</v>
      </c>
      <c r="I322">
        <v>465.93</v>
      </c>
      <c r="J322">
        <v>0.71</v>
      </c>
      <c r="K322">
        <v>3002305</v>
      </c>
      <c r="L322" t="s">
        <v>20</v>
      </c>
      <c r="M322" t="s">
        <v>21</v>
      </c>
      <c r="N322" t="s">
        <v>22</v>
      </c>
    </row>
    <row r="323" spans="1:14" x14ac:dyDescent="0.3">
      <c r="A323" s="1">
        <v>45868</v>
      </c>
      <c r="B323" t="s">
        <v>44</v>
      </c>
      <c r="C323" t="s">
        <v>45</v>
      </c>
      <c r="D323" t="s">
        <v>46</v>
      </c>
      <c r="E323" t="s">
        <v>43</v>
      </c>
      <c r="F323" t="s">
        <v>18</v>
      </c>
      <c r="G323" t="s">
        <v>19</v>
      </c>
      <c r="H323">
        <v>465.93</v>
      </c>
      <c r="I323">
        <v>463.81</v>
      </c>
      <c r="J323">
        <v>-0.46</v>
      </c>
      <c r="K323">
        <v>527228</v>
      </c>
      <c r="L323" t="s">
        <v>20</v>
      </c>
      <c r="M323" t="s">
        <v>21</v>
      </c>
      <c r="N323" t="s">
        <v>22</v>
      </c>
    </row>
    <row r="324" spans="1:14" x14ac:dyDescent="0.3">
      <c r="A324" s="1">
        <v>45869</v>
      </c>
      <c r="B324" t="s">
        <v>44</v>
      </c>
      <c r="C324" t="s">
        <v>45</v>
      </c>
      <c r="D324" t="s">
        <v>46</v>
      </c>
      <c r="E324" t="s">
        <v>43</v>
      </c>
      <c r="F324" t="s">
        <v>18</v>
      </c>
      <c r="G324" t="s">
        <v>29</v>
      </c>
      <c r="H324">
        <v>463.81</v>
      </c>
      <c r="I324">
        <v>467.5</v>
      </c>
      <c r="J324">
        <v>0.8</v>
      </c>
      <c r="K324">
        <v>807461</v>
      </c>
      <c r="L324" t="s">
        <v>20</v>
      </c>
      <c r="M324" t="s">
        <v>21</v>
      </c>
      <c r="N324" t="s">
        <v>22</v>
      </c>
    </row>
    <row r="325" spans="1:14" x14ac:dyDescent="0.3">
      <c r="A325" s="1">
        <v>45870</v>
      </c>
      <c r="B325" t="s">
        <v>44</v>
      </c>
      <c r="C325" t="s">
        <v>45</v>
      </c>
      <c r="D325" t="s">
        <v>46</v>
      </c>
      <c r="E325" t="s">
        <v>43</v>
      </c>
      <c r="F325" t="s">
        <v>18</v>
      </c>
      <c r="G325" t="s">
        <v>27</v>
      </c>
      <c r="H325">
        <v>467.5</v>
      </c>
      <c r="I325">
        <v>467.09</v>
      </c>
      <c r="J325">
        <v>-0.09</v>
      </c>
      <c r="K325">
        <v>394123</v>
      </c>
      <c r="L325" t="s">
        <v>20</v>
      </c>
      <c r="M325" t="s">
        <v>21</v>
      </c>
      <c r="N325" t="s">
        <v>22</v>
      </c>
    </row>
    <row r="326" spans="1:14" x14ac:dyDescent="0.3">
      <c r="A326" s="1">
        <v>45873</v>
      </c>
      <c r="B326" t="s">
        <v>44</v>
      </c>
      <c r="C326" t="s">
        <v>45</v>
      </c>
      <c r="D326" t="s">
        <v>46</v>
      </c>
      <c r="E326" t="s">
        <v>43</v>
      </c>
      <c r="F326" t="s">
        <v>18</v>
      </c>
      <c r="G326" t="s">
        <v>27</v>
      </c>
      <c r="H326">
        <v>467.09</v>
      </c>
      <c r="I326">
        <v>471.67</v>
      </c>
      <c r="J326">
        <v>0.98</v>
      </c>
      <c r="K326">
        <v>1629067</v>
      </c>
      <c r="L326" t="s">
        <v>20</v>
      </c>
      <c r="M326" t="s">
        <v>21</v>
      </c>
      <c r="N326" t="s">
        <v>22</v>
      </c>
    </row>
    <row r="327" spans="1:14" x14ac:dyDescent="0.3">
      <c r="A327" s="1">
        <v>45874</v>
      </c>
      <c r="B327" t="s">
        <v>44</v>
      </c>
      <c r="C327" t="s">
        <v>45</v>
      </c>
      <c r="D327" t="s">
        <v>46</v>
      </c>
      <c r="E327" t="s">
        <v>43</v>
      </c>
      <c r="F327" t="s">
        <v>18</v>
      </c>
      <c r="G327" t="s">
        <v>29</v>
      </c>
      <c r="H327">
        <v>471.67</v>
      </c>
      <c r="I327">
        <v>472.86</v>
      </c>
      <c r="J327">
        <v>0.25</v>
      </c>
      <c r="K327">
        <v>569034</v>
      </c>
      <c r="L327" t="s">
        <v>20</v>
      </c>
      <c r="M327" t="s">
        <v>21</v>
      </c>
      <c r="N327" t="s">
        <v>22</v>
      </c>
    </row>
    <row r="328" spans="1:14" x14ac:dyDescent="0.3">
      <c r="A328" s="1">
        <v>45875</v>
      </c>
      <c r="B328" t="s">
        <v>44</v>
      </c>
      <c r="C328" t="s">
        <v>45</v>
      </c>
      <c r="D328" t="s">
        <v>46</v>
      </c>
      <c r="E328" t="s">
        <v>43</v>
      </c>
      <c r="F328" t="s">
        <v>18</v>
      </c>
      <c r="G328" t="s">
        <v>27</v>
      </c>
      <c r="H328">
        <v>472.86</v>
      </c>
      <c r="I328">
        <v>468.36</v>
      </c>
      <c r="J328">
        <v>-0.95</v>
      </c>
      <c r="K328">
        <v>2930964</v>
      </c>
      <c r="L328" t="s">
        <v>20</v>
      </c>
      <c r="M328" t="s">
        <v>21</v>
      </c>
      <c r="N328" t="s">
        <v>22</v>
      </c>
    </row>
    <row r="329" spans="1:14" x14ac:dyDescent="0.3">
      <c r="A329" s="1">
        <v>45876</v>
      </c>
      <c r="B329" t="s">
        <v>44</v>
      </c>
      <c r="C329" t="s">
        <v>45</v>
      </c>
      <c r="D329" t="s">
        <v>46</v>
      </c>
      <c r="E329" t="s">
        <v>43</v>
      </c>
      <c r="F329" t="s">
        <v>18</v>
      </c>
      <c r="G329" t="s">
        <v>19</v>
      </c>
      <c r="H329">
        <v>468.36</v>
      </c>
      <c r="I329">
        <v>468.41</v>
      </c>
      <c r="J329">
        <v>0.01</v>
      </c>
      <c r="K329">
        <v>2128224</v>
      </c>
      <c r="L329" t="s">
        <v>20</v>
      </c>
      <c r="M329" t="s">
        <v>21</v>
      </c>
      <c r="N329" t="s">
        <v>22</v>
      </c>
    </row>
    <row r="330" spans="1:14" x14ac:dyDescent="0.3">
      <c r="A330" s="1">
        <v>45877</v>
      </c>
      <c r="B330" t="s">
        <v>44</v>
      </c>
      <c r="C330" t="s">
        <v>45</v>
      </c>
      <c r="D330" t="s">
        <v>46</v>
      </c>
      <c r="E330" t="s">
        <v>43</v>
      </c>
      <c r="F330" t="s">
        <v>18</v>
      </c>
      <c r="G330" t="s">
        <v>27</v>
      </c>
      <c r="H330">
        <v>468.41</v>
      </c>
      <c r="I330">
        <v>473.93</v>
      </c>
      <c r="J330">
        <v>1.18</v>
      </c>
      <c r="K330">
        <v>1381659</v>
      </c>
      <c r="L330" t="s">
        <v>20</v>
      </c>
      <c r="M330" t="s">
        <v>21</v>
      </c>
      <c r="N330" t="s">
        <v>22</v>
      </c>
    </row>
    <row r="331" spans="1:14" x14ac:dyDescent="0.3">
      <c r="A331" s="1">
        <v>45880</v>
      </c>
      <c r="B331" t="s">
        <v>44</v>
      </c>
      <c r="C331" t="s">
        <v>45</v>
      </c>
      <c r="D331" t="s">
        <v>46</v>
      </c>
      <c r="E331" t="s">
        <v>43</v>
      </c>
      <c r="F331" t="s">
        <v>18</v>
      </c>
      <c r="G331" t="s">
        <v>29</v>
      </c>
      <c r="H331">
        <v>473.93</v>
      </c>
      <c r="I331">
        <v>472.49</v>
      </c>
      <c r="J331">
        <v>-0.31</v>
      </c>
      <c r="K331">
        <v>3479006</v>
      </c>
      <c r="L331" t="s">
        <v>20</v>
      </c>
      <c r="M331" t="s">
        <v>21</v>
      </c>
      <c r="N331" t="s">
        <v>22</v>
      </c>
    </row>
    <row r="332" spans="1:14" x14ac:dyDescent="0.3">
      <c r="A332" s="1">
        <v>45881</v>
      </c>
      <c r="B332" t="s">
        <v>44</v>
      </c>
      <c r="C332" t="s">
        <v>45</v>
      </c>
      <c r="D332" t="s">
        <v>46</v>
      </c>
      <c r="E332" t="s">
        <v>43</v>
      </c>
      <c r="F332" t="s">
        <v>18</v>
      </c>
      <c r="G332" t="s">
        <v>29</v>
      </c>
      <c r="H332">
        <v>472.49</v>
      </c>
      <c r="I332">
        <v>474.51</v>
      </c>
      <c r="J332">
        <v>0.43</v>
      </c>
      <c r="K332">
        <v>2857242</v>
      </c>
      <c r="L332" t="s">
        <v>20</v>
      </c>
      <c r="M332" t="s">
        <v>21</v>
      </c>
      <c r="N332" t="s">
        <v>22</v>
      </c>
    </row>
    <row r="333" spans="1:14" x14ac:dyDescent="0.3">
      <c r="A333" s="1">
        <v>45882</v>
      </c>
      <c r="B333" t="s">
        <v>44</v>
      </c>
      <c r="C333" t="s">
        <v>45</v>
      </c>
      <c r="D333" t="s">
        <v>46</v>
      </c>
      <c r="E333" t="s">
        <v>43</v>
      </c>
      <c r="F333" t="s">
        <v>18</v>
      </c>
      <c r="G333" t="s">
        <v>19</v>
      </c>
      <c r="H333">
        <v>474.51</v>
      </c>
      <c r="I333">
        <v>472.57</v>
      </c>
      <c r="J333">
        <v>-0.41</v>
      </c>
      <c r="K333">
        <v>3292735</v>
      </c>
      <c r="L333" t="s">
        <v>20</v>
      </c>
      <c r="M333" t="s">
        <v>21</v>
      </c>
      <c r="N333" t="s">
        <v>22</v>
      </c>
    </row>
    <row r="334" spans="1:14" x14ac:dyDescent="0.3">
      <c r="A334" s="1">
        <v>45883</v>
      </c>
      <c r="B334" t="s">
        <v>44</v>
      </c>
      <c r="C334" t="s">
        <v>45</v>
      </c>
      <c r="D334" t="s">
        <v>46</v>
      </c>
      <c r="E334" t="s">
        <v>43</v>
      </c>
      <c r="F334" t="s">
        <v>18</v>
      </c>
      <c r="G334" t="s">
        <v>29</v>
      </c>
      <c r="H334">
        <v>472.57</v>
      </c>
      <c r="I334">
        <v>469.76</v>
      </c>
      <c r="J334">
        <v>-0.6</v>
      </c>
      <c r="K334">
        <v>1311422</v>
      </c>
      <c r="L334" t="s">
        <v>20</v>
      </c>
      <c r="M334" t="s">
        <v>21</v>
      </c>
      <c r="N334" t="s">
        <v>22</v>
      </c>
    </row>
    <row r="335" spans="1:14" x14ac:dyDescent="0.3">
      <c r="A335" s="1">
        <v>45884</v>
      </c>
      <c r="B335" t="s">
        <v>44</v>
      </c>
      <c r="C335" t="s">
        <v>45</v>
      </c>
      <c r="D335" t="s">
        <v>46</v>
      </c>
      <c r="E335" t="s">
        <v>43</v>
      </c>
      <c r="F335" t="s">
        <v>18</v>
      </c>
      <c r="G335" t="s">
        <v>29</v>
      </c>
      <c r="H335">
        <v>469.76</v>
      </c>
      <c r="I335">
        <v>465.04</v>
      </c>
      <c r="J335">
        <v>-1</v>
      </c>
      <c r="K335">
        <v>2984509</v>
      </c>
      <c r="L335" t="s">
        <v>20</v>
      </c>
      <c r="M335" t="s">
        <v>21</v>
      </c>
      <c r="N335" t="s">
        <v>22</v>
      </c>
    </row>
    <row r="336" spans="1:14" x14ac:dyDescent="0.3">
      <c r="A336" s="1">
        <v>45887</v>
      </c>
      <c r="B336" t="s">
        <v>44</v>
      </c>
      <c r="C336" t="s">
        <v>45</v>
      </c>
      <c r="D336" t="s">
        <v>46</v>
      </c>
      <c r="E336" t="s">
        <v>43</v>
      </c>
      <c r="F336" t="s">
        <v>18</v>
      </c>
      <c r="G336" t="s">
        <v>29</v>
      </c>
      <c r="H336">
        <v>465.04</v>
      </c>
      <c r="I336">
        <v>470.26</v>
      </c>
      <c r="J336">
        <v>1.1200000000000001</v>
      </c>
      <c r="K336">
        <v>3337981</v>
      </c>
      <c r="L336" t="s">
        <v>20</v>
      </c>
      <c r="M336" t="s">
        <v>21</v>
      </c>
      <c r="N336" t="s">
        <v>22</v>
      </c>
    </row>
    <row r="337" spans="1:14" x14ac:dyDescent="0.3">
      <c r="A337" s="1">
        <v>45888</v>
      </c>
      <c r="B337" t="s">
        <v>44</v>
      </c>
      <c r="C337" t="s">
        <v>45</v>
      </c>
      <c r="D337" t="s">
        <v>46</v>
      </c>
      <c r="E337" t="s">
        <v>43</v>
      </c>
      <c r="F337" t="s">
        <v>18</v>
      </c>
      <c r="G337" t="s">
        <v>23</v>
      </c>
      <c r="H337">
        <v>470.26</v>
      </c>
      <c r="I337">
        <v>471.34</v>
      </c>
      <c r="J337">
        <v>0.23</v>
      </c>
      <c r="K337">
        <v>2646961</v>
      </c>
      <c r="L337" t="s">
        <v>20</v>
      </c>
      <c r="M337" t="s">
        <v>21</v>
      </c>
      <c r="N337" t="s">
        <v>22</v>
      </c>
    </row>
    <row r="338" spans="1:14" x14ac:dyDescent="0.3">
      <c r="A338" s="1">
        <v>45889</v>
      </c>
      <c r="B338" t="s">
        <v>44</v>
      </c>
      <c r="C338" t="s">
        <v>45</v>
      </c>
      <c r="D338" t="s">
        <v>46</v>
      </c>
      <c r="E338" t="s">
        <v>43</v>
      </c>
      <c r="F338" t="s">
        <v>18</v>
      </c>
      <c r="G338" t="s">
        <v>27</v>
      </c>
      <c r="H338">
        <v>471.34</v>
      </c>
      <c r="I338">
        <v>472.96</v>
      </c>
      <c r="J338">
        <v>0.34</v>
      </c>
      <c r="K338">
        <v>1122011</v>
      </c>
      <c r="L338" t="s">
        <v>20</v>
      </c>
      <c r="M338" t="s">
        <v>21</v>
      </c>
      <c r="N338" t="s">
        <v>22</v>
      </c>
    </row>
    <row r="339" spans="1:14" x14ac:dyDescent="0.3">
      <c r="A339" s="1">
        <v>45890</v>
      </c>
      <c r="B339" t="s">
        <v>44</v>
      </c>
      <c r="C339" t="s">
        <v>45</v>
      </c>
      <c r="D339" t="s">
        <v>46</v>
      </c>
      <c r="E339" t="s">
        <v>43</v>
      </c>
      <c r="F339" t="s">
        <v>18</v>
      </c>
      <c r="G339" t="s">
        <v>19</v>
      </c>
      <c r="H339">
        <v>472.96</v>
      </c>
      <c r="I339">
        <v>474.62</v>
      </c>
      <c r="J339">
        <v>0.35</v>
      </c>
      <c r="K339">
        <v>3085234</v>
      </c>
      <c r="L339" t="s">
        <v>20</v>
      </c>
      <c r="M339" t="s">
        <v>21</v>
      </c>
      <c r="N339" t="s">
        <v>22</v>
      </c>
    </row>
    <row r="340" spans="1:14" x14ac:dyDescent="0.3">
      <c r="A340" s="1">
        <v>45891</v>
      </c>
      <c r="B340" t="s">
        <v>44</v>
      </c>
      <c r="C340" t="s">
        <v>45</v>
      </c>
      <c r="D340" t="s">
        <v>46</v>
      </c>
      <c r="E340" t="s">
        <v>43</v>
      </c>
      <c r="F340" t="s">
        <v>18</v>
      </c>
      <c r="G340" t="s">
        <v>19</v>
      </c>
      <c r="H340">
        <v>474.62</v>
      </c>
      <c r="I340">
        <v>473.05</v>
      </c>
      <c r="J340">
        <v>-0.33</v>
      </c>
      <c r="K340">
        <v>1846778</v>
      </c>
      <c r="L340" t="s">
        <v>20</v>
      </c>
      <c r="M340" t="s">
        <v>21</v>
      </c>
      <c r="N340" t="s">
        <v>22</v>
      </c>
    </row>
    <row r="341" spans="1:14" x14ac:dyDescent="0.3">
      <c r="A341" s="1">
        <v>45894</v>
      </c>
      <c r="B341" t="s">
        <v>44</v>
      </c>
      <c r="C341" t="s">
        <v>45</v>
      </c>
      <c r="D341" t="s">
        <v>46</v>
      </c>
      <c r="E341" t="s">
        <v>43</v>
      </c>
      <c r="F341" t="s">
        <v>18</v>
      </c>
      <c r="G341" t="s">
        <v>29</v>
      </c>
      <c r="H341">
        <v>473.05</v>
      </c>
      <c r="I341">
        <v>478.13</v>
      </c>
      <c r="J341">
        <v>1.07</v>
      </c>
      <c r="K341">
        <v>1950380</v>
      </c>
      <c r="L341" t="s">
        <v>20</v>
      </c>
      <c r="M341" t="s">
        <v>21</v>
      </c>
      <c r="N341" t="s">
        <v>22</v>
      </c>
    </row>
    <row r="342" spans="1:14" x14ac:dyDescent="0.3">
      <c r="A342" s="1">
        <v>45895</v>
      </c>
      <c r="B342" t="s">
        <v>44</v>
      </c>
      <c r="C342" t="s">
        <v>45</v>
      </c>
      <c r="D342" t="s">
        <v>46</v>
      </c>
      <c r="E342" t="s">
        <v>43</v>
      </c>
      <c r="F342" t="s">
        <v>18</v>
      </c>
      <c r="G342" t="s">
        <v>23</v>
      </c>
      <c r="H342">
        <v>478.13</v>
      </c>
      <c r="I342">
        <v>474.17</v>
      </c>
      <c r="J342">
        <v>-0.83</v>
      </c>
      <c r="K342">
        <v>898430</v>
      </c>
      <c r="L342" t="s">
        <v>20</v>
      </c>
      <c r="M342" t="s">
        <v>21</v>
      </c>
      <c r="N342" t="s">
        <v>22</v>
      </c>
    </row>
    <row r="343" spans="1:14" x14ac:dyDescent="0.3">
      <c r="A343" s="1">
        <v>45896</v>
      </c>
      <c r="B343" t="s">
        <v>44</v>
      </c>
      <c r="C343" t="s">
        <v>45</v>
      </c>
      <c r="D343" t="s">
        <v>46</v>
      </c>
      <c r="E343" t="s">
        <v>43</v>
      </c>
      <c r="F343" t="s">
        <v>18</v>
      </c>
      <c r="G343" t="s">
        <v>19</v>
      </c>
      <c r="H343">
        <v>474.17</v>
      </c>
      <c r="I343">
        <v>476.02</v>
      </c>
      <c r="J343">
        <v>0.39</v>
      </c>
      <c r="K343">
        <v>1149319</v>
      </c>
      <c r="L343" t="s">
        <v>20</v>
      </c>
      <c r="M343" t="s">
        <v>21</v>
      </c>
      <c r="N343" t="s">
        <v>22</v>
      </c>
    </row>
    <row r="344" spans="1:14" x14ac:dyDescent="0.3">
      <c r="A344" s="1">
        <v>45897</v>
      </c>
      <c r="B344" t="s">
        <v>44</v>
      </c>
      <c r="C344" t="s">
        <v>45</v>
      </c>
      <c r="D344" t="s">
        <v>46</v>
      </c>
      <c r="E344" t="s">
        <v>43</v>
      </c>
      <c r="F344" t="s">
        <v>18</v>
      </c>
      <c r="G344" t="s">
        <v>27</v>
      </c>
      <c r="H344">
        <v>476.02</v>
      </c>
      <c r="I344">
        <v>472.07</v>
      </c>
      <c r="J344">
        <v>-0.83</v>
      </c>
      <c r="K344">
        <v>1438643</v>
      </c>
      <c r="L344" t="s">
        <v>20</v>
      </c>
      <c r="M344" t="s">
        <v>21</v>
      </c>
      <c r="N344" t="s">
        <v>22</v>
      </c>
    </row>
    <row r="345" spans="1:14" x14ac:dyDescent="0.3">
      <c r="A345" s="1">
        <v>45898</v>
      </c>
      <c r="B345" t="s">
        <v>44</v>
      </c>
      <c r="C345" t="s">
        <v>45</v>
      </c>
      <c r="D345" t="s">
        <v>46</v>
      </c>
      <c r="E345" t="s">
        <v>43</v>
      </c>
      <c r="F345" t="s">
        <v>18</v>
      </c>
      <c r="G345" t="s">
        <v>27</v>
      </c>
      <c r="H345">
        <v>472.07</v>
      </c>
      <c r="I345">
        <v>466.9</v>
      </c>
      <c r="J345">
        <v>-1.1000000000000001</v>
      </c>
      <c r="K345">
        <v>2042547</v>
      </c>
      <c r="L345" t="s">
        <v>20</v>
      </c>
      <c r="M345" t="s">
        <v>21</v>
      </c>
      <c r="N345" t="s">
        <v>22</v>
      </c>
    </row>
    <row r="346" spans="1:14" x14ac:dyDescent="0.3">
      <c r="A346" s="1">
        <v>45901</v>
      </c>
      <c r="B346" t="s">
        <v>44</v>
      </c>
      <c r="C346" t="s">
        <v>45</v>
      </c>
      <c r="D346" t="s">
        <v>46</v>
      </c>
      <c r="E346" t="s">
        <v>43</v>
      </c>
      <c r="F346" t="s">
        <v>18</v>
      </c>
      <c r="G346" t="s">
        <v>27</v>
      </c>
      <c r="H346">
        <v>466.9</v>
      </c>
      <c r="I346">
        <v>468.14</v>
      </c>
      <c r="J346">
        <v>0.27</v>
      </c>
      <c r="K346">
        <v>3815880</v>
      </c>
      <c r="L346" t="s">
        <v>20</v>
      </c>
      <c r="M346" t="s">
        <v>21</v>
      </c>
      <c r="N346" t="s">
        <v>22</v>
      </c>
    </row>
    <row r="347" spans="1:14" x14ac:dyDescent="0.3">
      <c r="A347" s="1">
        <v>45902</v>
      </c>
      <c r="B347" t="s">
        <v>44</v>
      </c>
      <c r="C347" t="s">
        <v>45</v>
      </c>
      <c r="D347" t="s">
        <v>46</v>
      </c>
      <c r="E347" t="s">
        <v>43</v>
      </c>
      <c r="F347" t="s">
        <v>18</v>
      </c>
      <c r="G347" t="s">
        <v>23</v>
      </c>
      <c r="H347">
        <v>468.14</v>
      </c>
      <c r="I347">
        <v>468.52</v>
      </c>
      <c r="J347">
        <v>0.08</v>
      </c>
      <c r="K347">
        <v>3984388</v>
      </c>
      <c r="L347" t="s">
        <v>20</v>
      </c>
      <c r="M347" t="s">
        <v>21</v>
      </c>
      <c r="N347" t="s">
        <v>22</v>
      </c>
    </row>
    <row r="348" spans="1:14" x14ac:dyDescent="0.3">
      <c r="A348" s="1">
        <v>45903</v>
      </c>
      <c r="B348" t="s">
        <v>44</v>
      </c>
      <c r="C348" t="s">
        <v>45</v>
      </c>
      <c r="D348" t="s">
        <v>46</v>
      </c>
      <c r="E348" t="s">
        <v>43</v>
      </c>
      <c r="F348" t="s">
        <v>18</v>
      </c>
      <c r="G348" t="s">
        <v>23</v>
      </c>
      <c r="H348">
        <v>468.52</v>
      </c>
      <c r="I348">
        <v>467.03</v>
      </c>
      <c r="J348">
        <v>-0.32</v>
      </c>
      <c r="K348">
        <v>3745998</v>
      </c>
      <c r="L348" t="s">
        <v>20</v>
      </c>
      <c r="M348" t="s">
        <v>21</v>
      </c>
      <c r="N348" t="s">
        <v>22</v>
      </c>
    </row>
    <row r="349" spans="1:14" x14ac:dyDescent="0.3">
      <c r="A349" s="1">
        <v>45904</v>
      </c>
      <c r="B349" t="s">
        <v>44</v>
      </c>
      <c r="C349" t="s">
        <v>45</v>
      </c>
      <c r="D349" t="s">
        <v>46</v>
      </c>
      <c r="E349" t="s">
        <v>43</v>
      </c>
      <c r="F349" t="s">
        <v>18</v>
      </c>
      <c r="G349" t="s">
        <v>27</v>
      </c>
      <c r="H349">
        <v>467.03</v>
      </c>
      <c r="I349">
        <v>470.05</v>
      </c>
      <c r="J349">
        <v>0.65</v>
      </c>
      <c r="K349">
        <v>4268687</v>
      </c>
      <c r="L349" t="s">
        <v>20</v>
      </c>
      <c r="M349" t="s">
        <v>21</v>
      </c>
      <c r="N349" t="s">
        <v>22</v>
      </c>
    </row>
    <row r="350" spans="1:14" x14ac:dyDescent="0.3">
      <c r="A350" s="1">
        <v>45905</v>
      </c>
      <c r="B350" t="s">
        <v>44</v>
      </c>
      <c r="C350" t="s">
        <v>45</v>
      </c>
      <c r="D350" t="s">
        <v>46</v>
      </c>
      <c r="E350" t="s">
        <v>43</v>
      </c>
      <c r="F350" t="s">
        <v>18</v>
      </c>
      <c r="G350" t="s">
        <v>27</v>
      </c>
      <c r="H350">
        <v>470.05</v>
      </c>
      <c r="I350">
        <v>475.31</v>
      </c>
      <c r="J350">
        <v>1.1200000000000001</v>
      </c>
      <c r="K350">
        <v>1210971</v>
      </c>
      <c r="L350" t="s">
        <v>20</v>
      </c>
      <c r="M350" t="s">
        <v>21</v>
      </c>
      <c r="N350" t="s">
        <v>22</v>
      </c>
    </row>
    <row r="351" spans="1:14" x14ac:dyDescent="0.3">
      <c r="A351" s="1">
        <v>45908</v>
      </c>
      <c r="B351" t="s">
        <v>44</v>
      </c>
      <c r="C351" t="s">
        <v>45</v>
      </c>
      <c r="D351" t="s">
        <v>46</v>
      </c>
      <c r="E351" t="s">
        <v>43</v>
      </c>
      <c r="F351" t="s">
        <v>18</v>
      </c>
      <c r="G351" t="s">
        <v>29</v>
      </c>
      <c r="H351">
        <v>475.31</v>
      </c>
      <c r="I351">
        <v>470.2</v>
      </c>
      <c r="J351">
        <v>-1.07</v>
      </c>
      <c r="K351">
        <v>3163952</v>
      </c>
      <c r="L351" t="s">
        <v>20</v>
      </c>
      <c r="M351" t="s">
        <v>21</v>
      </c>
      <c r="N351" t="s">
        <v>22</v>
      </c>
    </row>
    <row r="352" spans="1:14" x14ac:dyDescent="0.3">
      <c r="A352" s="1">
        <v>45909</v>
      </c>
      <c r="B352" t="s">
        <v>44</v>
      </c>
      <c r="C352" t="s">
        <v>45</v>
      </c>
      <c r="D352" t="s">
        <v>46</v>
      </c>
      <c r="E352" t="s">
        <v>43</v>
      </c>
      <c r="F352" t="s">
        <v>18</v>
      </c>
      <c r="G352" t="s">
        <v>19</v>
      </c>
      <c r="H352">
        <v>470.2</v>
      </c>
      <c r="I352">
        <v>472.59</v>
      </c>
      <c r="J352">
        <v>0.51</v>
      </c>
      <c r="K352">
        <v>1095872</v>
      </c>
      <c r="L352" t="s">
        <v>20</v>
      </c>
      <c r="M352" t="s">
        <v>21</v>
      </c>
      <c r="N352" t="s">
        <v>22</v>
      </c>
    </row>
    <row r="353" spans="1:14" x14ac:dyDescent="0.3">
      <c r="A353" s="1">
        <v>45910</v>
      </c>
      <c r="B353" t="s">
        <v>44</v>
      </c>
      <c r="C353" t="s">
        <v>45</v>
      </c>
      <c r="D353" t="s">
        <v>46</v>
      </c>
      <c r="E353" t="s">
        <v>43</v>
      </c>
      <c r="F353" t="s">
        <v>18</v>
      </c>
      <c r="G353" t="s">
        <v>29</v>
      </c>
      <c r="H353">
        <v>472.59</v>
      </c>
      <c r="I353">
        <v>467.87</v>
      </c>
      <c r="J353">
        <v>-1</v>
      </c>
      <c r="K353">
        <v>3819162</v>
      </c>
      <c r="L353" t="s">
        <v>20</v>
      </c>
      <c r="M353" t="s">
        <v>21</v>
      </c>
      <c r="N353" t="s">
        <v>22</v>
      </c>
    </row>
    <row r="354" spans="1:14" x14ac:dyDescent="0.3">
      <c r="A354" s="1">
        <v>45911</v>
      </c>
      <c r="B354" t="s">
        <v>44</v>
      </c>
      <c r="C354" t="s">
        <v>45</v>
      </c>
      <c r="D354" t="s">
        <v>46</v>
      </c>
      <c r="E354" t="s">
        <v>43</v>
      </c>
      <c r="F354" t="s">
        <v>18</v>
      </c>
      <c r="G354" t="s">
        <v>23</v>
      </c>
      <c r="H354">
        <v>467.87</v>
      </c>
      <c r="I354">
        <v>471.59</v>
      </c>
      <c r="J354">
        <v>0.79</v>
      </c>
      <c r="K354">
        <v>1912589</v>
      </c>
      <c r="L354" t="s">
        <v>20</v>
      </c>
      <c r="M354" t="s">
        <v>21</v>
      </c>
      <c r="N354" t="s">
        <v>22</v>
      </c>
    </row>
    <row r="355" spans="1:14" x14ac:dyDescent="0.3">
      <c r="A355" s="1">
        <v>45912</v>
      </c>
      <c r="B355" t="s">
        <v>44</v>
      </c>
      <c r="C355" t="s">
        <v>45</v>
      </c>
      <c r="D355" t="s">
        <v>46</v>
      </c>
      <c r="E355" t="s">
        <v>43</v>
      </c>
      <c r="F355" t="s">
        <v>18</v>
      </c>
      <c r="G355" t="s">
        <v>27</v>
      </c>
      <c r="H355">
        <v>471.59</v>
      </c>
      <c r="I355">
        <v>475.94</v>
      </c>
      <c r="J355">
        <v>0.92</v>
      </c>
      <c r="K355">
        <v>3530407</v>
      </c>
      <c r="L355" t="s">
        <v>20</v>
      </c>
      <c r="M355" t="s">
        <v>21</v>
      </c>
      <c r="N355" t="s">
        <v>22</v>
      </c>
    </row>
    <row r="356" spans="1:14" x14ac:dyDescent="0.3">
      <c r="A356" s="1">
        <v>45915</v>
      </c>
      <c r="B356" t="s">
        <v>44</v>
      </c>
      <c r="C356" t="s">
        <v>45</v>
      </c>
      <c r="D356" t="s">
        <v>46</v>
      </c>
      <c r="E356" t="s">
        <v>43</v>
      </c>
      <c r="F356" t="s">
        <v>18</v>
      </c>
      <c r="G356" t="s">
        <v>19</v>
      </c>
      <c r="H356">
        <v>475.94</v>
      </c>
      <c r="I356">
        <v>474.76</v>
      </c>
      <c r="J356">
        <v>-0.25</v>
      </c>
      <c r="K356">
        <v>3289396</v>
      </c>
      <c r="L356" t="s">
        <v>20</v>
      </c>
      <c r="M356" t="s">
        <v>21</v>
      </c>
      <c r="N356" t="s">
        <v>22</v>
      </c>
    </row>
    <row r="357" spans="1:14" x14ac:dyDescent="0.3">
      <c r="A357" s="1">
        <v>45916</v>
      </c>
      <c r="B357" t="s">
        <v>44</v>
      </c>
      <c r="C357" t="s">
        <v>45</v>
      </c>
      <c r="D357" t="s">
        <v>46</v>
      </c>
      <c r="E357" t="s">
        <v>43</v>
      </c>
      <c r="F357" t="s">
        <v>18</v>
      </c>
      <c r="G357" t="s">
        <v>19</v>
      </c>
      <c r="H357">
        <v>474.76</v>
      </c>
      <c r="I357">
        <v>511.79</v>
      </c>
      <c r="J357">
        <v>7.8</v>
      </c>
      <c r="K357">
        <v>2862619</v>
      </c>
      <c r="L357" t="s">
        <v>24</v>
      </c>
      <c r="M357" t="s">
        <v>25</v>
      </c>
      <c r="N357" t="s">
        <v>26</v>
      </c>
    </row>
    <row r="358" spans="1:14" x14ac:dyDescent="0.3">
      <c r="A358" s="1">
        <v>45917</v>
      </c>
      <c r="B358" t="s">
        <v>44</v>
      </c>
      <c r="C358" t="s">
        <v>45</v>
      </c>
      <c r="D358" t="s">
        <v>46</v>
      </c>
      <c r="E358" t="s">
        <v>43</v>
      </c>
      <c r="F358" t="s">
        <v>18</v>
      </c>
      <c r="G358" t="s">
        <v>23</v>
      </c>
      <c r="H358">
        <v>511.79</v>
      </c>
      <c r="I358">
        <v>507.34</v>
      </c>
      <c r="J358">
        <v>-0.87</v>
      </c>
      <c r="K358">
        <v>4013239</v>
      </c>
      <c r="L358" t="s">
        <v>20</v>
      </c>
      <c r="M358" t="s">
        <v>21</v>
      </c>
      <c r="N358" t="s">
        <v>22</v>
      </c>
    </row>
    <row r="359" spans="1:14" x14ac:dyDescent="0.3">
      <c r="A359" s="1">
        <v>45918</v>
      </c>
      <c r="B359" t="s">
        <v>44</v>
      </c>
      <c r="C359" t="s">
        <v>45</v>
      </c>
      <c r="D359" t="s">
        <v>46</v>
      </c>
      <c r="E359" t="s">
        <v>43</v>
      </c>
      <c r="F359" t="s">
        <v>18</v>
      </c>
      <c r="G359" t="s">
        <v>23</v>
      </c>
      <c r="H359">
        <v>507.34</v>
      </c>
      <c r="I359">
        <v>510.49</v>
      </c>
      <c r="J359">
        <v>0.62</v>
      </c>
      <c r="K359">
        <v>94050</v>
      </c>
      <c r="L359" t="s">
        <v>20</v>
      </c>
      <c r="M359" t="s">
        <v>21</v>
      </c>
      <c r="N359" t="s">
        <v>22</v>
      </c>
    </row>
    <row r="360" spans="1:14" x14ac:dyDescent="0.3">
      <c r="A360" s="1">
        <v>45919</v>
      </c>
      <c r="B360" t="s">
        <v>44</v>
      </c>
      <c r="C360" t="s">
        <v>45</v>
      </c>
      <c r="D360" t="s">
        <v>46</v>
      </c>
      <c r="E360" t="s">
        <v>43</v>
      </c>
      <c r="F360" t="s">
        <v>18</v>
      </c>
      <c r="G360" t="s">
        <v>19</v>
      </c>
      <c r="H360">
        <v>510.49</v>
      </c>
      <c r="I360">
        <v>504.6</v>
      </c>
      <c r="J360">
        <v>-1.1499999999999999</v>
      </c>
      <c r="K360">
        <v>1304261</v>
      </c>
      <c r="L360" t="s">
        <v>20</v>
      </c>
      <c r="M360" t="s">
        <v>21</v>
      </c>
      <c r="N360" t="s">
        <v>22</v>
      </c>
    </row>
    <row r="361" spans="1:14" x14ac:dyDescent="0.3">
      <c r="A361" s="1">
        <v>45922</v>
      </c>
      <c r="B361" t="s">
        <v>44</v>
      </c>
      <c r="C361" t="s">
        <v>45</v>
      </c>
      <c r="D361" t="s">
        <v>46</v>
      </c>
      <c r="E361" t="s">
        <v>43</v>
      </c>
      <c r="F361" t="s">
        <v>18</v>
      </c>
      <c r="G361" t="s">
        <v>27</v>
      </c>
      <c r="H361">
        <v>504.6</v>
      </c>
      <c r="I361">
        <v>499.89</v>
      </c>
      <c r="J361">
        <v>-0.93</v>
      </c>
      <c r="K361">
        <v>2576239</v>
      </c>
      <c r="L361" t="s">
        <v>20</v>
      </c>
      <c r="M361" t="s">
        <v>21</v>
      </c>
      <c r="N361" t="s">
        <v>22</v>
      </c>
    </row>
    <row r="362" spans="1:14" x14ac:dyDescent="0.3">
      <c r="A362" s="1">
        <v>45839</v>
      </c>
      <c r="B362" t="s">
        <v>47</v>
      </c>
      <c r="C362" t="s">
        <v>48</v>
      </c>
      <c r="D362" t="s">
        <v>49</v>
      </c>
      <c r="E362" t="s">
        <v>50</v>
      </c>
      <c r="F362" t="s">
        <v>18</v>
      </c>
      <c r="G362" t="s">
        <v>19</v>
      </c>
      <c r="H362">
        <v>65000</v>
      </c>
      <c r="I362">
        <v>62354.33</v>
      </c>
      <c r="J362">
        <v>-4.07</v>
      </c>
      <c r="K362">
        <v>3884546</v>
      </c>
      <c r="L362" t="s">
        <v>20</v>
      </c>
      <c r="M362" t="s">
        <v>21</v>
      </c>
      <c r="N362" t="s">
        <v>22</v>
      </c>
    </row>
    <row r="363" spans="1:14" x14ac:dyDescent="0.3">
      <c r="A363" s="1">
        <v>45840</v>
      </c>
      <c r="B363" t="s">
        <v>47</v>
      </c>
      <c r="C363" t="s">
        <v>48</v>
      </c>
      <c r="D363" t="s">
        <v>49</v>
      </c>
      <c r="E363" t="s">
        <v>50</v>
      </c>
      <c r="F363" t="s">
        <v>18</v>
      </c>
      <c r="G363" t="s">
        <v>19</v>
      </c>
      <c r="H363">
        <v>62354.33</v>
      </c>
      <c r="I363">
        <v>60170.51</v>
      </c>
      <c r="J363">
        <v>-3.5</v>
      </c>
      <c r="K363">
        <v>4546745</v>
      </c>
      <c r="L363" t="s">
        <v>20</v>
      </c>
      <c r="M363" t="s">
        <v>21</v>
      </c>
      <c r="N363" t="s">
        <v>22</v>
      </c>
    </row>
    <row r="364" spans="1:14" x14ac:dyDescent="0.3">
      <c r="A364" s="1">
        <v>45841</v>
      </c>
      <c r="B364" t="s">
        <v>47</v>
      </c>
      <c r="C364" t="s">
        <v>48</v>
      </c>
      <c r="D364" t="s">
        <v>49</v>
      </c>
      <c r="E364" t="s">
        <v>50</v>
      </c>
      <c r="F364" t="s">
        <v>18</v>
      </c>
      <c r="G364" t="s">
        <v>19</v>
      </c>
      <c r="H364">
        <v>60170.51</v>
      </c>
      <c r="I364">
        <v>60885.09</v>
      </c>
      <c r="J364">
        <v>1.19</v>
      </c>
      <c r="K364">
        <v>1254409</v>
      </c>
      <c r="L364" t="s">
        <v>20</v>
      </c>
      <c r="M364" t="s">
        <v>21</v>
      </c>
      <c r="N364" t="s">
        <v>22</v>
      </c>
    </row>
    <row r="365" spans="1:14" x14ac:dyDescent="0.3">
      <c r="A365" s="1">
        <v>45842</v>
      </c>
      <c r="B365" t="s">
        <v>47</v>
      </c>
      <c r="C365" t="s">
        <v>48</v>
      </c>
      <c r="D365" t="s">
        <v>49</v>
      </c>
      <c r="E365" t="s">
        <v>50</v>
      </c>
      <c r="F365" t="s">
        <v>18</v>
      </c>
      <c r="G365" t="s">
        <v>29</v>
      </c>
      <c r="H365">
        <v>60885.09</v>
      </c>
      <c r="I365">
        <v>60497.35</v>
      </c>
      <c r="J365">
        <v>-0.64</v>
      </c>
      <c r="K365">
        <v>2067999</v>
      </c>
      <c r="L365" t="s">
        <v>20</v>
      </c>
      <c r="M365" t="s">
        <v>21</v>
      </c>
      <c r="N365" t="s">
        <v>22</v>
      </c>
    </row>
    <row r="366" spans="1:14" x14ac:dyDescent="0.3">
      <c r="A366" s="1">
        <v>45845</v>
      </c>
      <c r="B366" t="s">
        <v>47</v>
      </c>
      <c r="C366" t="s">
        <v>48</v>
      </c>
      <c r="D366" t="s">
        <v>49</v>
      </c>
      <c r="E366" t="s">
        <v>50</v>
      </c>
      <c r="F366" t="s">
        <v>18</v>
      </c>
      <c r="G366" t="s">
        <v>27</v>
      </c>
      <c r="H366">
        <v>60497.35</v>
      </c>
      <c r="I366">
        <v>58794.85</v>
      </c>
      <c r="J366">
        <v>-2.81</v>
      </c>
      <c r="K366">
        <v>4441306</v>
      </c>
      <c r="L366" t="s">
        <v>20</v>
      </c>
      <c r="M366" t="s">
        <v>21</v>
      </c>
      <c r="N366" t="s">
        <v>22</v>
      </c>
    </row>
    <row r="367" spans="1:14" x14ac:dyDescent="0.3">
      <c r="A367" s="1">
        <v>45846</v>
      </c>
      <c r="B367" t="s">
        <v>47</v>
      </c>
      <c r="C367" t="s">
        <v>48</v>
      </c>
      <c r="D367" t="s">
        <v>49</v>
      </c>
      <c r="E367" t="s">
        <v>50</v>
      </c>
      <c r="F367" t="s">
        <v>18</v>
      </c>
      <c r="G367" t="s">
        <v>29</v>
      </c>
      <c r="H367">
        <v>58794.85</v>
      </c>
      <c r="I367">
        <v>56507.199999999997</v>
      </c>
      <c r="J367">
        <v>-3.89</v>
      </c>
      <c r="K367">
        <v>4305773</v>
      </c>
      <c r="L367" t="s">
        <v>20</v>
      </c>
      <c r="M367" t="s">
        <v>21</v>
      </c>
      <c r="N367" t="s">
        <v>22</v>
      </c>
    </row>
    <row r="368" spans="1:14" x14ac:dyDescent="0.3">
      <c r="A368" s="1">
        <v>45847</v>
      </c>
      <c r="B368" t="s">
        <v>47</v>
      </c>
      <c r="C368" t="s">
        <v>48</v>
      </c>
      <c r="D368" t="s">
        <v>49</v>
      </c>
      <c r="E368" t="s">
        <v>50</v>
      </c>
      <c r="F368" t="s">
        <v>18</v>
      </c>
      <c r="G368" t="s">
        <v>19</v>
      </c>
      <c r="H368">
        <v>56507.199999999997</v>
      </c>
      <c r="I368">
        <v>55950.09</v>
      </c>
      <c r="J368">
        <v>-0.99</v>
      </c>
      <c r="K368">
        <v>3295395</v>
      </c>
      <c r="L368" t="s">
        <v>20</v>
      </c>
      <c r="M368" t="s">
        <v>21</v>
      </c>
      <c r="N368" t="s">
        <v>22</v>
      </c>
    </row>
    <row r="369" spans="1:14" x14ac:dyDescent="0.3">
      <c r="A369" s="1">
        <v>45848</v>
      </c>
      <c r="B369" t="s">
        <v>47</v>
      </c>
      <c r="C369" t="s">
        <v>48</v>
      </c>
      <c r="D369" t="s">
        <v>49</v>
      </c>
      <c r="E369" t="s">
        <v>50</v>
      </c>
      <c r="F369" t="s">
        <v>18</v>
      </c>
      <c r="G369" t="s">
        <v>29</v>
      </c>
      <c r="H369">
        <v>55950.09</v>
      </c>
      <c r="I369">
        <v>60314.2</v>
      </c>
      <c r="J369">
        <v>7.8</v>
      </c>
      <c r="K369">
        <v>2942412</v>
      </c>
      <c r="L369" t="s">
        <v>24</v>
      </c>
      <c r="M369" t="s">
        <v>25</v>
      </c>
      <c r="N369" t="s">
        <v>26</v>
      </c>
    </row>
    <row r="370" spans="1:14" x14ac:dyDescent="0.3">
      <c r="A370" s="1">
        <v>45849</v>
      </c>
      <c r="B370" t="s">
        <v>47</v>
      </c>
      <c r="C370" t="s">
        <v>48</v>
      </c>
      <c r="D370" t="s">
        <v>49</v>
      </c>
      <c r="E370" t="s">
        <v>50</v>
      </c>
      <c r="F370" t="s">
        <v>18</v>
      </c>
      <c r="G370" t="s">
        <v>23</v>
      </c>
      <c r="H370">
        <v>60314.2</v>
      </c>
      <c r="I370">
        <v>61578.67</v>
      </c>
      <c r="J370">
        <v>2.1</v>
      </c>
      <c r="K370">
        <v>4931358</v>
      </c>
      <c r="L370" t="s">
        <v>20</v>
      </c>
      <c r="M370" t="s">
        <v>21</v>
      </c>
      <c r="N370" t="s">
        <v>22</v>
      </c>
    </row>
    <row r="371" spans="1:14" x14ac:dyDescent="0.3">
      <c r="A371" s="1">
        <v>45852</v>
      </c>
      <c r="B371" t="s">
        <v>47</v>
      </c>
      <c r="C371" t="s">
        <v>48</v>
      </c>
      <c r="D371" t="s">
        <v>49</v>
      </c>
      <c r="E371" t="s">
        <v>50</v>
      </c>
      <c r="F371" t="s">
        <v>18</v>
      </c>
      <c r="G371" t="s">
        <v>29</v>
      </c>
      <c r="H371">
        <v>61578.67</v>
      </c>
      <c r="I371">
        <v>59546.99</v>
      </c>
      <c r="J371">
        <v>-3.3</v>
      </c>
      <c r="K371">
        <v>2889940</v>
      </c>
      <c r="L371" t="s">
        <v>20</v>
      </c>
      <c r="M371" t="s">
        <v>21</v>
      </c>
      <c r="N371" t="s">
        <v>22</v>
      </c>
    </row>
    <row r="372" spans="1:14" x14ac:dyDescent="0.3">
      <c r="A372" s="1">
        <v>45853</v>
      </c>
      <c r="B372" t="s">
        <v>47</v>
      </c>
      <c r="C372" t="s">
        <v>48</v>
      </c>
      <c r="D372" t="s">
        <v>49</v>
      </c>
      <c r="E372" t="s">
        <v>50</v>
      </c>
      <c r="F372" t="s">
        <v>18</v>
      </c>
      <c r="G372" t="s">
        <v>23</v>
      </c>
      <c r="H372">
        <v>59546.99</v>
      </c>
      <c r="I372">
        <v>61317.599999999999</v>
      </c>
      <c r="J372">
        <v>2.97</v>
      </c>
      <c r="K372">
        <v>4064210</v>
      </c>
      <c r="L372" t="s">
        <v>20</v>
      </c>
      <c r="M372" t="s">
        <v>21</v>
      </c>
      <c r="N372" t="s">
        <v>22</v>
      </c>
    </row>
    <row r="373" spans="1:14" x14ac:dyDescent="0.3">
      <c r="A373" s="1">
        <v>45854</v>
      </c>
      <c r="B373" t="s">
        <v>47</v>
      </c>
      <c r="C373" t="s">
        <v>48</v>
      </c>
      <c r="D373" t="s">
        <v>49</v>
      </c>
      <c r="E373" t="s">
        <v>50</v>
      </c>
      <c r="F373" t="s">
        <v>18</v>
      </c>
      <c r="G373" t="s">
        <v>23</v>
      </c>
      <c r="H373">
        <v>61317.599999999999</v>
      </c>
      <c r="I373">
        <v>63036.62</v>
      </c>
      <c r="J373">
        <v>2.8</v>
      </c>
      <c r="K373">
        <v>3889294</v>
      </c>
      <c r="L373" t="s">
        <v>20</v>
      </c>
      <c r="M373" t="s">
        <v>21</v>
      </c>
      <c r="N373" t="s">
        <v>22</v>
      </c>
    </row>
    <row r="374" spans="1:14" x14ac:dyDescent="0.3">
      <c r="A374" s="1">
        <v>45855</v>
      </c>
      <c r="B374" t="s">
        <v>47</v>
      </c>
      <c r="C374" t="s">
        <v>48</v>
      </c>
      <c r="D374" t="s">
        <v>49</v>
      </c>
      <c r="E374" t="s">
        <v>50</v>
      </c>
      <c r="F374" t="s">
        <v>18</v>
      </c>
      <c r="G374" t="s">
        <v>19</v>
      </c>
      <c r="H374">
        <v>63036.62</v>
      </c>
      <c r="I374">
        <v>63036.62</v>
      </c>
      <c r="J374">
        <v>0</v>
      </c>
      <c r="K374">
        <v>1723274</v>
      </c>
      <c r="L374" t="s">
        <v>24</v>
      </c>
      <c r="M374" t="s">
        <v>25</v>
      </c>
      <c r="N374" t="s">
        <v>28</v>
      </c>
    </row>
    <row r="375" spans="1:14" x14ac:dyDescent="0.3">
      <c r="A375" s="1">
        <v>45856</v>
      </c>
      <c r="B375" t="s">
        <v>47</v>
      </c>
      <c r="C375" t="s">
        <v>48</v>
      </c>
      <c r="D375" t="s">
        <v>49</v>
      </c>
      <c r="E375" t="s">
        <v>50</v>
      </c>
      <c r="F375" t="s">
        <v>18</v>
      </c>
      <c r="G375" t="s">
        <v>19</v>
      </c>
      <c r="H375">
        <v>63036.62</v>
      </c>
      <c r="I375">
        <v>61990.44</v>
      </c>
      <c r="J375">
        <v>-1.66</v>
      </c>
      <c r="K375">
        <v>3390545</v>
      </c>
      <c r="L375" t="s">
        <v>20</v>
      </c>
      <c r="M375" t="s">
        <v>21</v>
      </c>
      <c r="N375" t="s">
        <v>22</v>
      </c>
    </row>
    <row r="376" spans="1:14" x14ac:dyDescent="0.3">
      <c r="A376" s="1">
        <v>45859</v>
      </c>
      <c r="B376" t="s">
        <v>47</v>
      </c>
      <c r="C376" t="s">
        <v>48</v>
      </c>
      <c r="D376" t="s">
        <v>49</v>
      </c>
      <c r="E376" t="s">
        <v>50</v>
      </c>
      <c r="F376" t="s">
        <v>18</v>
      </c>
      <c r="G376" t="s">
        <v>27</v>
      </c>
      <c r="H376">
        <v>61990.44</v>
      </c>
      <c r="I376">
        <v>60614.14</v>
      </c>
      <c r="J376">
        <v>-2.2200000000000002</v>
      </c>
      <c r="K376">
        <v>1653091</v>
      </c>
      <c r="L376" t="s">
        <v>20</v>
      </c>
      <c r="M376" t="s">
        <v>21</v>
      </c>
      <c r="N376" t="s">
        <v>22</v>
      </c>
    </row>
    <row r="377" spans="1:14" x14ac:dyDescent="0.3">
      <c r="A377" s="1">
        <v>45860</v>
      </c>
      <c r="B377" t="s">
        <v>47</v>
      </c>
      <c r="C377" t="s">
        <v>48</v>
      </c>
      <c r="D377" t="s">
        <v>49</v>
      </c>
      <c r="E377" t="s">
        <v>50</v>
      </c>
      <c r="F377" t="s">
        <v>18</v>
      </c>
      <c r="G377" t="s">
        <v>29</v>
      </c>
      <c r="H377">
        <v>60614.14</v>
      </c>
      <c r="I377">
        <v>59833.9</v>
      </c>
      <c r="J377">
        <v>-1.29</v>
      </c>
      <c r="K377">
        <v>2834386</v>
      </c>
      <c r="L377" t="s">
        <v>20</v>
      </c>
      <c r="M377" t="s">
        <v>21</v>
      </c>
      <c r="N377" t="s">
        <v>22</v>
      </c>
    </row>
    <row r="378" spans="1:14" x14ac:dyDescent="0.3">
      <c r="A378" s="1">
        <v>45861</v>
      </c>
      <c r="B378" t="s">
        <v>47</v>
      </c>
      <c r="C378" t="s">
        <v>48</v>
      </c>
      <c r="D378" t="s">
        <v>49</v>
      </c>
      <c r="E378" t="s">
        <v>50</v>
      </c>
      <c r="F378" t="s">
        <v>18</v>
      </c>
      <c r="G378" t="s">
        <v>29</v>
      </c>
      <c r="H378">
        <v>59833.9</v>
      </c>
      <c r="I378">
        <v>57811.68</v>
      </c>
      <c r="J378">
        <v>-3.38</v>
      </c>
      <c r="K378">
        <v>3405625</v>
      </c>
      <c r="L378" t="s">
        <v>20</v>
      </c>
      <c r="M378" t="s">
        <v>21</v>
      </c>
      <c r="N378" t="s">
        <v>22</v>
      </c>
    </row>
    <row r="379" spans="1:14" x14ac:dyDescent="0.3">
      <c r="A379" s="1">
        <v>45862</v>
      </c>
      <c r="B379" t="s">
        <v>47</v>
      </c>
      <c r="C379" t="s">
        <v>48</v>
      </c>
      <c r="D379" t="s">
        <v>49</v>
      </c>
      <c r="E379" t="s">
        <v>50</v>
      </c>
      <c r="F379" t="s">
        <v>18</v>
      </c>
      <c r="G379" t="s">
        <v>27</v>
      </c>
      <c r="H379">
        <v>57811.68</v>
      </c>
      <c r="I379">
        <v>59865</v>
      </c>
      <c r="J379">
        <v>3.55</v>
      </c>
      <c r="K379">
        <v>1617136</v>
      </c>
      <c r="L379" t="s">
        <v>20</v>
      </c>
      <c r="M379" t="s">
        <v>21</v>
      </c>
      <c r="N379" t="s">
        <v>22</v>
      </c>
    </row>
    <row r="380" spans="1:14" x14ac:dyDescent="0.3">
      <c r="A380" s="1">
        <v>45863</v>
      </c>
      <c r="B380" t="s">
        <v>47</v>
      </c>
      <c r="C380" t="s">
        <v>48</v>
      </c>
      <c r="D380" t="s">
        <v>49</v>
      </c>
      <c r="E380" t="s">
        <v>50</v>
      </c>
      <c r="F380" t="s">
        <v>18</v>
      </c>
      <c r="G380" t="s">
        <v>27</v>
      </c>
      <c r="H380">
        <v>59865</v>
      </c>
      <c r="I380">
        <v>60899.83</v>
      </c>
      <c r="J380">
        <v>1.73</v>
      </c>
      <c r="K380">
        <v>4406001</v>
      </c>
      <c r="L380" t="s">
        <v>20</v>
      </c>
      <c r="M380" t="s">
        <v>21</v>
      </c>
      <c r="N380" t="s">
        <v>22</v>
      </c>
    </row>
    <row r="381" spans="1:14" x14ac:dyDescent="0.3">
      <c r="A381" s="1">
        <v>45866</v>
      </c>
      <c r="B381" t="s">
        <v>47</v>
      </c>
      <c r="C381" t="s">
        <v>48</v>
      </c>
      <c r="D381" t="s">
        <v>49</v>
      </c>
      <c r="E381" t="s">
        <v>50</v>
      </c>
      <c r="F381" t="s">
        <v>18</v>
      </c>
      <c r="G381" t="s">
        <v>29</v>
      </c>
      <c r="H381">
        <v>60899.83</v>
      </c>
      <c r="I381">
        <v>62550.42</v>
      </c>
      <c r="J381">
        <v>2.71</v>
      </c>
      <c r="K381">
        <v>712087</v>
      </c>
      <c r="L381" t="s">
        <v>20</v>
      </c>
      <c r="M381" t="s">
        <v>21</v>
      </c>
      <c r="N381" t="s">
        <v>22</v>
      </c>
    </row>
    <row r="382" spans="1:14" x14ac:dyDescent="0.3">
      <c r="A382" s="1">
        <v>45867</v>
      </c>
      <c r="B382" t="s">
        <v>47</v>
      </c>
      <c r="C382" t="s">
        <v>48</v>
      </c>
      <c r="D382" t="s">
        <v>49</v>
      </c>
      <c r="E382" t="s">
        <v>50</v>
      </c>
      <c r="F382" t="s">
        <v>18</v>
      </c>
      <c r="G382" t="s">
        <v>27</v>
      </c>
      <c r="H382">
        <v>62550.42</v>
      </c>
      <c r="I382">
        <v>63127.19</v>
      </c>
      <c r="J382">
        <v>0.92</v>
      </c>
      <c r="K382">
        <v>4625770</v>
      </c>
      <c r="L382" t="s">
        <v>20</v>
      </c>
      <c r="M382" t="s">
        <v>21</v>
      </c>
      <c r="N382" t="s">
        <v>22</v>
      </c>
    </row>
    <row r="383" spans="1:14" x14ac:dyDescent="0.3">
      <c r="A383" s="1">
        <v>45868</v>
      </c>
      <c r="B383" t="s">
        <v>47</v>
      </c>
      <c r="C383" t="s">
        <v>48</v>
      </c>
      <c r="D383" t="s">
        <v>49</v>
      </c>
      <c r="E383" t="s">
        <v>50</v>
      </c>
      <c r="F383" t="s">
        <v>18</v>
      </c>
      <c r="G383" t="s">
        <v>29</v>
      </c>
      <c r="H383">
        <v>63127.19</v>
      </c>
      <c r="I383">
        <v>62111.41</v>
      </c>
      <c r="J383">
        <v>-1.61</v>
      </c>
      <c r="K383">
        <v>2530007</v>
      </c>
      <c r="L383" t="s">
        <v>20</v>
      </c>
      <c r="M383" t="s">
        <v>21</v>
      </c>
      <c r="N383" t="s">
        <v>22</v>
      </c>
    </row>
    <row r="384" spans="1:14" x14ac:dyDescent="0.3">
      <c r="A384" s="1">
        <v>45869</v>
      </c>
      <c r="B384" t="s">
        <v>47</v>
      </c>
      <c r="C384" t="s">
        <v>48</v>
      </c>
      <c r="D384" t="s">
        <v>49</v>
      </c>
      <c r="E384" t="s">
        <v>50</v>
      </c>
      <c r="F384" t="s">
        <v>18</v>
      </c>
      <c r="G384" t="s">
        <v>29</v>
      </c>
      <c r="H384">
        <v>62111.41</v>
      </c>
      <c r="I384">
        <v>61809.08</v>
      </c>
      <c r="J384">
        <v>-0.49</v>
      </c>
      <c r="K384">
        <v>1447917</v>
      </c>
      <c r="L384" t="s">
        <v>20</v>
      </c>
      <c r="M384" t="s">
        <v>21</v>
      </c>
      <c r="N384" t="s">
        <v>22</v>
      </c>
    </row>
    <row r="385" spans="1:14" x14ac:dyDescent="0.3">
      <c r="A385" s="1">
        <v>45870</v>
      </c>
      <c r="B385" t="s">
        <v>47</v>
      </c>
      <c r="C385" t="s">
        <v>48</v>
      </c>
      <c r="D385" t="s">
        <v>49</v>
      </c>
      <c r="E385" t="s">
        <v>50</v>
      </c>
      <c r="F385" t="s">
        <v>18</v>
      </c>
      <c r="G385" t="s">
        <v>27</v>
      </c>
      <c r="H385">
        <v>61809.08</v>
      </c>
      <c r="I385">
        <v>61809.08</v>
      </c>
      <c r="J385">
        <v>0</v>
      </c>
      <c r="K385">
        <v>3007481</v>
      </c>
      <c r="L385" t="s">
        <v>24</v>
      </c>
      <c r="M385" t="s">
        <v>25</v>
      </c>
      <c r="N385" t="s">
        <v>28</v>
      </c>
    </row>
    <row r="386" spans="1:14" x14ac:dyDescent="0.3">
      <c r="A386" s="1">
        <v>45873</v>
      </c>
      <c r="B386" t="s">
        <v>47</v>
      </c>
      <c r="C386" t="s">
        <v>48</v>
      </c>
      <c r="D386" t="s">
        <v>49</v>
      </c>
      <c r="E386" t="s">
        <v>50</v>
      </c>
      <c r="F386" t="s">
        <v>18</v>
      </c>
      <c r="G386" t="s">
        <v>27</v>
      </c>
      <c r="H386">
        <v>61809.08</v>
      </c>
      <c r="I386">
        <v>60554.97</v>
      </c>
      <c r="J386">
        <v>-2.0299999999999998</v>
      </c>
      <c r="K386">
        <v>531154</v>
      </c>
      <c r="L386" t="s">
        <v>20</v>
      </c>
      <c r="M386" t="s">
        <v>21</v>
      </c>
      <c r="N386" t="s">
        <v>22</v>
      </c>
    </row>
    <row r="387" spans="1:14" x14ac:dyDescent="0.3">
      <c r="A387" s="1">
        <v>45874</v>
      </c>
      <c r="B387" t="s">
        <v>47</v>
      </c>
      <c r="C387" t="s">
        <v>48</v>
      </c>
      <c r="D387" t="s">
        <v>49</v>
      </c>
      <c r="E387" t="s">
        <v>50</v>
      </c>
      <c r="F387" t="s">
        <v>18</v>
      </c>
      <c r="G387" t="s">
        <v>19</v>
      </c>
      <c r="H387">
        <v>60554.97</v>
      </c>
      <c r="I387">
        <v>61487.91</v>
      </c>
      <c r="J387">
        <v>1.54</v>
      </c>
      <c r="K387">
        <v>4354077</v>
      </c>
      <c r="L387" t="s">
        <v>20</v>
      </c>
      <c r="M387" t="s">
        <v>21</v>
      </c>
      <c r="N387" t="s">
        <v>22</v>
      </c>
    </row>
    <row r="388" spans="1:14" x14ac:dyDescent="0.3">
      <c r="A388" s="1">
        <v>45875</v>
      </c>
      <c r="B388" t="s">
        <v>47</v>
      </c>
      <c r="C388" t="s">
        <v>48</v>
      </c>
      <c r="D388" t="s">
        <v>49</v>
      </c>
      <c r="E388" t="s">
        <v>50</v>
      </c>
      <c r="F388" t="s">
        <v>18</v>
      </c>
      <c r="G388" t="s">
        <v>23</v>
      </c>
      <c r="H388">
        <v>61487.91</v>
      </c>
      <c r="I388">
        <v>63993.61</v>
      </c>
      <c r="J388">
        <v>4.08</v>
      </c>
      <c r="K388">
        <v>3725660</v>
      </c>
      <c r="L388" t="s">
        <v>20</v>
      </c>
      <c r="M388" t="s">
        <v>21</v>
      </c>
      <c r="N388" t="s">
        <v>22</v>
      </c>
    </row>
    <row r="389" spans="1:14" x14ac:dyDescent="0.3">
      <c r="A389" s="1">
        <v>45876</v>
      </c>
      <c r="B389" t="s">
        <v>47</v>
      </c>
      <c r="C389" t="s">
        <v>48</v>
      </c>
      <c r="D389" t="s">
        <v>49</v>
      </c>
      <c r="E389" t="s">
        <v>50</v>
      </c>
      <c r="F389" t="s">
        <v>18</v>
      </c>
      <c r="G389" t="s">
        <v>19</v>
      </c>
      <c r="H389">
        <v>63993.61</v>
      </c>
      <c r="I389">
        <v>61840.91</v>
      </c>
      <c r="J389">
        <v>-3.36</v>
      </c>
      <c r="K389">
        <v>3122985</v>
      </c>
      <c r="L389" t="s">
        <v>20</v>
      </c>
      <c r="M389" t="s">
        <v>21</v>
      </c>
      <c r="N389" t="s">
        <v>22</v>
      </c>
    </row>
    <row r="390" spans="1:14" x14ac:dyDescent="0.3">
      <c r="A390" s="1">
        <v>45877</v>
      </c>
      <c r="B390" t="s">
        <v>47</v>
      </c>
      <c r="C390" t="s">
        <v>48</v>
      </c>
      <c r="D390" t="s">
        <v>49</v>
      </c>
      <c r="E390" t="s">
        <v>50</v>
      </c>
      <c r="F390" t="s">
        <v>18</v>
      </c>
      <c r="G390" t="s">
        <v>29</v>
      </c>
      <c r="H390">
        <v>61840.91</v>
      </c>
      <c r="I390">
        <v>61188.91</v>
      </c>
      <c r="J390">
        <v>-1.05</v>
      </c>
      <c r="K390">
        <v>1337132</v>
      </c>
      <c r="L390" t="s">
        <v>20</v>
      </c>
      <c r="M390" t="s">
        <v>21</v>
      </c>
      <c r="N390" t="s">
        <v>22</v>
      </c>
    </row>
    <row r="391" spans="1:14" x14ac:dyDescent="0.3">
      <c r="A391" s="1">
        <v>45880</v>
      </c>
      <c r="B391" t="s">
        <v>47</v>
      </c>
      <c r="C391" t="s">
        <v>48</v>
      </c>
      <c r="D391" t="s">
        <v>49</v>
      </c>
      <c r="E391" t="s">
        <v>50</v>
      </c>
      <c r="F391" t="s">
        <v>18</v>
      </c>
      <c r="G391" t="s">
        <v>27</v>
      </c>
      <c r="H391">
        <v>61188.91</v>
      </c>
      <c r="I391">
        <v>63660.59</v>
      </c>
      <c r="J391">
        <v>4.04</v>
      </c>
      <c r="K391">
        <v>694961</v>
      </c>
      <c r="L391" t="s">
        <v>20</v>
      </c>
      <c r="M391" t="s">
        <v>21</v>
      </c>
      <c r="N391" t="s">
        <v>22</v>
      </c>
    </row>
    <row r="392" spans="1:14" x14ac:dyDescent="0.3">
      <c r="A392" s="1">
        <v>45881</v>
      </c>
      <c r="B392" t="s">
        <v>47</v>
      </c>
      <c r="C392" t="s">
        <v>48</v>
      </c>
      <c r="D392" t="s">
        <v>49</v>
      </c>
      <c r="E392" t="s">
        <v>50</v>
      </c>
      <c r="F392" t="s">
        <v>18</v>
      </c>
      <c r="G392" t="s">
        <v>23</v>
      </c>
      <c r="H392">
        <v>63660.59</v>
      </c>
      <c r="I392">
        <v>63829.38</v>
      </c>
      <c r="J392">
        <v>0.27</v>
      </c>
      <c r="K392">
        <v>2387819</v>
      </c>
      <c r="L392" t="s">
        <v>20</v>
      </c>
      <c r="M392" t="s">
        <v>21</v>
      </c>
      <c r="N392" t="s">
        <v>22</v>
      </c>
    </row>
    <row r="393" spans="1:14" x14ac:dyDescent="0.3">
      <c r="A393" s="1">
        <v>45882</v>
      </c>
      <c r="B393" t="s">
        <v>47</v>
      </c>
      <c r="C393" t="s">
        <v>48</v>
      </c>
      <c r="D393" t="s">
        <v>49</v>
      </c>
      <c r="E393" t="s">
        <v>50</v>
      </c>
      <c r="F393" t="s">
        <v>18</v>
      </c>
      <c r="G393" t="s">
        <v>23</v>
      </c>
      <c r="H393">
        <v>63829.38</v>
      </c>
      <c r="I393">
        <v>58467.71</v>
      </c>
      <c r="J393">
        <v>-8.4</v>
      </c>
      <c r="K393">
        <v>4236284</v>
      </c>
      <c r="L393" t="s">
        <v>24</v>
      </c>
      <c r="M393" t="s">
        <v>25</v>
      </c>
      <c r="N393" t="s">
        <v>26</v>
      </c>
    </row>
    <row r="394" spans="1:14" x14ac:dyDescent="0.3">
      <c r="A394" s="1">
        <v>45883</v>
      </c>
      <c r="B394" t="s">
        <v>47</v>
      </c>
      <c r="C394" t="s">
        <v>48</v>
      </c>
      <c r="D394" t="s">
        <v>49</v>
      </c>
      <c r="E394" t="s">
        <v>50</v>
      </c>
      <c r="F394" t="s">
        <v>18</v>
      </c>
      <c r="G394" t="s">
        <v>27</v>
      </c>
      <c r="H394">
        <v>58467.71</v>
      </c>
      <c r="I394">
        <v>60643.81</v>
      </c>
      <c r="J394">
        <v>3.72</v>
      </c>
      <c r="K394">
        <v>2233468</v>
      </c>
      <c r="L394" t="s">
        <v>20</v>
      </c>
      <c r="M394" t="s">
        <v>21</v>
      </c>
      <c r="N394" t="s">
        <v>22</v>
      </c>
    </row>
    <row r="395" spans="1:14" x14ac:dyDescent="0.3">
      <c r="A395" s="1">
        <v>45884</v>
      </c>
      <c r="B395" t="s">
        <v>47</v>
      </c>
      <c r="C395" t="s">
        <v>48</v>
      </c>
      <c r="D395" t="s">
        <v>49</v>
      </c>
      <c r="E395" t="s">
        <v>50</v>
      </c>
      <c r="F395" t="s">
        <v>18</v>
      </c>
      <c r="G395" t="s">
        <v>27</v>
      </c>
      <c r="H395">
        <v>60643.81</v>
      </c>
      <c r="I395">
        <v>59085.95</v>
      </c>
      <c r="J395">
        <v>-2.57</v>
      </c>
      <c r="K395">
        <v>4170485</v>
      </c>
      <c r="L395" t="s">
        <v>20</v>
      </c>
      <c r="M395" t="s">
        <v>21</v>
      </c>
      <c r="N395" t="s">
        <v>22</v>
      </c>
    </row>
    <row r="396" spans="1:14" x14ac:dyDescent="0.3">
      <c r="A396" s="1">
        <v>45887</v>
      </c>
      <c r="B396" t="s">
        <v>47</v>
      </c>
      <c r="C396" t="s">
        <v>48</v>
      </c>
      <c r="D396" t="s">
        <v>49</v>
      </c>
      <c r="E396" t="s">
        <v>50</v>
      </c>
      <c r="F396" t="s">
        <v>18</v>
      </c>
      <c r="G396" t="s">
        <v>23</v>
      </c>
      <c r="H396">
        <v>59085.95</v>
      </c>
      <c r="I396">
        <v>57079.23</v>
      </c>
      <c r="J396">
        <v>-3.4</v>
      </c>
      <c r="K396">
        <v>3842008</v>
      </c>
      <c r="L396" t="s">
        <v>20</v>
      </c>
      <c r="M396" t="s">
        <v>21</v>
      </c>
      <c r="N396" t="s">
        <v>22</v>
      </c>
    </row>
    <row r="397" spans="1:14" x14ac:dyDescent="0.3">
      <c r="A397" s="1">
        <v>45888</v>
      </c>
      <c r="B397" t="s">
        <v>47</v>
      </c>
      <c r="C397" t="s">
        <v>48</v>
      </c>
      <c r="D397" t="s">
        <v>49</v>
      </c>
      <c r="E397" t="s">
        <v>50</v>
      </c>
      <c r="F397" t="s">
        <v>18</v>
      </c>
      <c r="G397" t="s">
        <v>23</v>
      </c>
      <c r="H397">
        <v>57079.23</v>
      </c>
      <c r="I397">
        <v>59127.3</v>
      </c>
      <c r="J397">
        <v>3.59</v>
      </c>
      <c r="K397">
        <v>786442</v>
      </c>
      <c r="L397" t="s">
        <v>20</v>
      </c>
      <c r="M397" t="s">
        <v>21</v>
      </c>
      <c r="N397" t="s">
        <v>22</v>
      </c>
    </row>
    <row r="398" spans="1:14" x14ac:dyDescent="0.3">
      <c r="A398" s="1">
        <v>45889</v>
      </c>
      <c r="B398" t="s">
        <v>47</v>
      </c>
      <c r="C398" t="s">
        <v>48</v>
      </c>
      <c r="D398" t="s">
        <v>49</v>
      </c>
      <c r="E398" t="s">
        <v>50</v>
      </c>
      <c r="F398" t="s">
        <v>18</v>
      </c>
      <c r="G398" t="s">
        <v>29</v>
      </c>
      <c r="H398">
        <v>59127.3</v>
      </c>
      <c r="I398">
        <v>60020.45</v>
      </c>
      <c r="J398">
        <v>1.51</v>
      </c>
      <c r="K398">
        <v>4663710</v>
      </c>
      <c r="L398" t="s">
        <v>20</v>
      </c>
      <c r="M398" t="s">
        <v>21</v>
      </c>
      <c r="N398" t="s">
        <v>22</v>
      </c>
    </row>
    <row r="399" spans="1:14" x14ac:dyDescent="0.3">
      <c r="A399" s="1">
        <v>45890</v>
      </c>
      <c r="B399" t="s">
        <v>47</v>
      </c>
      <c r="C399" t="s">
        <v>48</v>
      </c>
      <c r="D399" t="s">
        <v>49</v>
      </c>
      <c r="E399" t="s">
        <v>50</v>
      </c>
      <c r="F399" t="s">
        <v>18</v>
      </c>
      <c r="G399" t="s">
        <v>29</v>
      </c>
      <c r="H399">
        <v>60020.45</v>
      </c>
      <c r="I399">
        <v>62134.36</v>
      </c>
      <c r="J399">
        <v>3.52</v>
      </c>
      <c r="K399">
        <v>1510381</v>
      </c>
      <c r="L399" t="s">
        <v>20</v>
      </c>
      <c r="M399" t="s">
        <v>21</v>
      </c>
      <c r="N399" t="s">
        <v>22</v>
      </c>
    </row>
    <row r="400" spans="1:14" x14ac:dyDescent="0.3">
      <c r="A400" s="1">
        <v>45891</v>
      </c>
      <c r="B400" t="s">
        <v>47</v>
      </c>
      <c r="C400" t="s">
        <v>48</v>
      </c>
      <c r="D400" t="s">
        <v>49</v>
      </c>
      <c r="E400" t="s">
        <v>50</v>
      </c>
      <c r="F400" t="s">
        <v>18</v>
      </c>
      <c r="G400" t="s">
        <v>29</v>
      </c>
      <c r="H400">
        <v>62134.36</v>
      </c>
      <c r="I400">
        <v>62183.33</v>
      </c>
      <c r="J400">
        <v>0.08</v>
      </c>
      <c r="K400">
        <v>1735945</v>
      </c>
      <c r="L400" t="s">
        <v>20</v>
      </c>
      <c r="M400" t="s">
        <v>21</v>
      </c>
      <c r="N400" t="s">
        <v>22</v>
      </c>
    </row>
    <row r="401" spans="1:14" x14ac:dyDescent="0.3">
      <c r="A401" s="1">
        <v>45894</v>
      </c>
      <c r="B401" t="s">
        <v>47</v>
      </c>
      <c r="C401" t="s">
        <v>48</v>
      </c>
      <c r="D401" t="s">
        <v>49</v>
      </c>
      <c r="E401" t="s">
        <v>50</v>
      </c>
      <c r="F401" t="s">
        <v>18</v>
      </c>
      <c r="G401" t="s">
        <v>23</v>
      </c>
      <c r="H401">
        <v>62183.33</v>
      </c>
      <c r="I401">
        <v>60709.97</v>
      </c>
      <c r="J401">
        <v>-2.37</v>
      </c>
      <c r="K401">
        <v>3077419</v>
      </c>
      <c r="L401" t="s">
        <v>20</v>
      </c>
      <c r="M401" t="s">
        <v>21</v>
      </c>
      <c r="N401" t="s">
        <v>22</v>
      </c>
    </row>
    <row r="402" spans="1:14" x14ac:dyDescent="0.3">
      <c r="A402" s="1">
        <v>45895</v>
      </c>
      <c r="B402" t="s">
        <v>47</v>
      </c>
      <c r="C402" t="s">
        <v>48</v>
      </c>
      <c r="D402" t="s">
        <v>49</v>
      </c>
      <c r="E402" t="s">
        <v>50</v>
      </c>
      <c r="F402" t="s">
        <v>18</v>
      </c>
      <c r="G402" t="s">
        <v>29</v>
      </c>
      <c r="H402">
        <v>60709.97</v>
      </c>
      <c r="I402">
        <v>60531.88</v>
      </c>
      <c r="J402">
        <v>-0.28999999999999998</v>
      </c>
      <c r="K402">
        <v>1138599</v>
      </c>
      <c r="L402" t="s">
        <v>20</v>
      </c>
      <c r="M402" t="s">
        <v>21</v>
      </c>
      <c r="N402" t="s">
        <v>22</v>
      </c>
    </row>
    <row r="403" spans="1:14" x14ac:dyDescent="0.3">
      <c r="A403" s="1">
        <v>45896</v>
      </c>
      <c r="B403" t="s">
        <v>47</v>
      </c>
      <c r="C403" t="s">
        <v>48</v>
      </c>
      <c r="D403" t="s">
        <v>49</v>
      </c>
      <c r="E403" t="s">
        <v>50</v>
      </c>
      <c r="F403" t="s">
        <v>18</v>
      </c>
      <c r="G403" t="s">
        <v>19</v>
      </c>
      <c r="H403">
        <v>60531.88</v>
      </c>
      <c r="I403">
        <v>58166.13</v>
      </c>
      <c r="J403">
        <v>-3.91</v>
      </c>
      <c r="K403">
        <v>4065333</v>
      </c>
      <c r="L403" t="s">
        <v>20</v>
      </c>
      <c r="M403" t="s">
        <v>21</v>
      </c>
      <c r="N403" t="s">
        <v>22</v>
      </c>
    </row>
    <row r="404" spans="1:14" x14ac:dyDescent="0.3">
      <c r="A404" s="1">
        <v>45897</v>
      </c>
      <c r="B404" t="s">
        <v>47</v>
      </c>
      <c r="C404" t="s">
        <v>48</v>
      </c>
      <c r="D404" t="s">
        <v>49</v>
      </c>
      <c r="E404" t="s">
        <v>50</v>
      </c>
      <c r="F404" t="s">
        <v>18</v>
      </c>
      <c r="G404" t="s">
        <v>27</v>
      </c>
      <c r="H404">
        <v>58166.13</v>
      </c>
      <c r="I404">
        <v>59575.199999999997</v>
      </c>
      <c r="J404">
        <v>2.42</v>
      </c>
      <c r="K404">
        <v>668665</v>
      </c>
      <c r="L404" t="s">
        <v>20</v>
      </c>
      <c r="M404" t="s">
        <v>21</v>
      </c>
      <c r="N404" t="s">
        <v>22</v>
      </c>
    </row>
    <row r="405" spans="1:14" x14ac:dyDescent="0.3">
      <c r="A405" s="1">
        <v>45898</v>
      </c>
      <c r="B405" t="s">
        <v>47</v>
      </c>
      <c r="C405" t="s">
        <v>48</v>
      </c>
      <c r="D405" t="s">
        <v>49</v>
      </c>
      <c r="E405" t="s">
        <v>50</v>
      </c>
      <c r="F405" t="s">
        <v>18</v>
      </c>
      <c r="G405" t="s">
        <v>23</v>
      </c>
      <c r="H405">
        <v>59575.199999999997</v>
      </c>
      <c r="I405">
        <v>62107.99</v>
      </c>
      <c r="J405">
        <v>4.25</v>
      </c>
      <c r="K405">
        <v>3824659</v>
      </c>
      <c r="L405" t="s">
        <v>20</v>
      </c>
      <c r="M405" t="s">
        <v>21</v>
      </c>
      <c r="N405" t="s">
        <v>22</v>
      </c>
    </row>
    <row r="406" spans="1:14" x14ac:dyDescent="0.3">
      <c r="A406" s="1">
        <v>45901</v>
      </c>
      <c r="B406" t="s">
        <v>47</v>
      </c>
      <c r="C406" t="s">
        <v>48</v>
      </c>
      <c r="D406" t="s">
        <v>49</v>
      </c>
      <c r="E406" t="s">
        <v>50</v>
      </c>
      <c r="F406" t="s">
        <v>18</v>
      </c>
      <c r="G406" t="s">
        <v>27</v>
      </c>
      <c r="H406">
        <v>62107.99</v>
      </c>
      <c r="I406">
        <v>63114.75</v>
      </c>
      <c r="J406">
        <v>1.62</v>
      </c>
      <c r="K406">
        <v>4674668</v>
      </c>
      <c r="L406" t="s">
        <v>20</v>
      </c>
      <c r="M406" t="s">
        <v>21</v>
      </c>
      <c r="N406" t="s">
        <v>22</v>
      </c>
    </row>
    <row r="407" spans="1:14" x14ac:dyDescent="0.3">
      <c r="A407" s="1">
        <v>45902</v>
      </c>
      <c r="B407" t="s">
        <v>47</v>
      </c>
      <c r="C407" t="s">
        <v>48</v>
      </c>
      <c r="D407" t="s">
        <v>49</v>
      </c>
      <c r="E407" t="s">
        <v>50</v>
      </c>
      <c r="F407" t="s">
        <v>18</v>
      </c>
      <c r="G407" t="s">
        <v>23</v>
      </c>
      <c r="H407">
        <v>63114.75</v>
      </c>
      <c r="I407">
        <v>64635.83</v>
      </c>
      <c r="J407">
        <v>2.41</v>
      </c>
      <c r="K407">
        <v>4268327</v>
      </c>
      <c r="L407" t="s">
        <v>20</v>
      </c>
      <c r="M407" t="s">
        <v>21</v>
      </c>
      <c r="N407" t="s">
        <v>22</v>
      </c>
    </row>
    <row r="408" spans="1:14" x14ac:dyDescent="0.3">
      <c r="A408" s="1">
        <v>45903</v>
      </c>
      <c r="B408" t="s">
        <v>47</v>
      </c>
      <c r="C408" t="s">
        <v>48</v>
      </c>
      <c r="D408" t="s">
        <v>49</v>
      </c>
      <c r="E408" t="s">
        <v>50</v>
      </c>
      <c r="F408" t="s">
        <v>18</v>
      </c>
      <c r="G408" t="s">
        <v>19</v>
      </c>
      <c r="H408">
        <v>64635.83</v>
      </c>
      <c r="I408">
        <v>66563.61</v>
      </c>
      <c r="J408">
        <v>2.98</v>
      </c>
      <c r="K408">
        <v>2601181</v>
      </c>
      <c r="L408" t="s">
        <v>20</v>
      </c>
      <c r="M408" t="s">
        <v>21</v>
      </c>
      <c r="N408" t="s">
        <v>22</v>
      </c>
    </row>
    <row r="409" spans="1:14" x14ac:dyDescent="0.3">
      <c r="A409" s="1">
        <v>45904</v>
      </c>
      <c r="B409" t="s">
        <v>47</v>
      </c>
      <c r="C409" t="s">
        <v>48</v>
      </c>
      <c r="D409" t="s">
        <v>49</v>
      </c>
      <c r="E409" t="s">
        <v>50</v>
      </c>
      <c r="F409" t="s">
        <v>18</v>
      </c>
      <c r="G409" t="s">
        <v>23</v>
      </c>
      <c r="H409">
        <v>66563.61</v>
      </c>
      <c r="I409">
        <v>64538.54</v>
      </c>
      <c r="J409">
        <v>-3.04</v>
      </c>
      <c r="K409">
        <v>1941381</v>
      </c>
      <c r="L409" t="s">
        <v>20</v>
      </c>
      <c r="M409" t="s">
        <v>21</v>
      </c>
      <c r="N409" t="s">
        <v>22</v>
      </c>
    </row>
    <row r="410" spans="1:14" x14ac:dyDescent="0.3">
      <c r="A410" s="1">
        <v>45905</v>
      </c>
      <c r="B410" t="s">
        <v>47</v>
      </c>
      <c r="C410" t="s">
        <v>48</v>
      </c>
      <c r="D410" t="s">
        <v>49</v>
      </c>
      <c r="E410" t="s">
        <v>50</v>
      </c>
      <c r="F410" t="s">
        <v>18</v>
      </c>
      <c r="G410" t="s">
        <v>29</v>
      </c>
      <c r="H410">
        <v>64538.54</v>
      </c>
      <c r="I410">
        <v>67137.740000000005</v>
      </c>
      <c r="J410">
        <v>4.03</v>
      </c>
      <c r="K410">
        <v>2432769</v>
      </c>
      <c r="L410" t="s">
        <v>20</v>
      </c>
      <c r="M410" t="s">
        <v>21</v>
      </c>
      <c r="N410" t="s">
        <v>22</v>
      </c>
    </row>
    <row r="411" spans="1:14" x14ac:dyDescent="0.3">
      <c r="A411" s="1">
        <v>45908</v>
      </c>
      <c r="B411" t="s">
        <v>47</v>
      </c>
      <c r="C411" t="s">
        <v>48</v>
      </c>
      <c r="D411" t="s">
        <v>49</v>
      </c>
      <c r="E411" t="s">
        <v>50</v>
      </c>
      <c r="F411" t="s">
        <v>18</v>
      </c>
      <c r="G411" t="s">
        <v>19</v>
      </c>
      <c r="H411">
        <v>67137.740000000005</v>
      </c>
      <c r="I411">
        <v>65630.8</v>
      </c>
      <c r="J411">
        <v>-2.2400000000000002</v>
      </c>
      <c r="K411">
        <v>4670792</v>
      </c>
      <c r="L411" t="s">
        <v>20</v>
      </c>
      <c r="M411" t="s">
        <v>21</v>
      </c>
      <c r="N411" t="s">
        <v>22</v>
      </c>
    </row>
    <row r="412" spans="1:14" x14ac:dyDescent="0.3">
      <c r="A412" s="1">
        <v>45909</v>
      </c>
      <c r="B412" t="s">
        <v>47</v>
      </c>
      <c r="C412" t="s">
        <v>48</v>
      </c>
      <c r="D412" t="s">
        <v>49</v>
      </c>
      <c r="E412" t="s">
        <v>50</v>
      </c>
      <c r="F412" t="s">
        <v>18</v>
      </c>
      <c r="G412" t="s">
        <v>29</v>
      </c>
      <c r="H412">
        <v>65630.8</v>
      </c>
      <c r="I412">
        <v>63416.76</v>
      </c>
      <c r="J412">
        <v>-3.37</v>
      </c>
      <c r="K412">
        <v>4525138</v>
      </c>
      <c r="L412" t="s">
        <v>20</v>
      </c>
      <c r="M412" t="s">
        <v>21</v>
      </c>
      <c r="N412" t="s">
        <v>22</v>
      </c>
    </row>
    <row r="413" spans="1:14" x14ac:dyDescent="0.3">
      <c r="A413" s="1">
        <v>45910</v>
      </c>
      <c r="B413" t="s">
        <v>47</v>
      </c>
      <c r="C413" t="s">
        <v>48</v>
      </c>
      <c r="D413" t="s">
        <v>49</v>
      </c>
      <c r="E413" t="s">
        <v>50</v>
      </c>
      <c r="F413" t="s">
        <v>18</v>
      </c>
      <c r="G413" t="s">
        <v>19</v>
      </c>
      <c r="H413">
        <v>63416.76</v>
      </c>
      <c r="I413">
        <v>63431.45</v>
      </c>
      <c r="J413">
        <v>0.02</v>
      </c>
      <c r="K413">
        <v>4920815</v>
      </c>
      <c r="L413" t="s">
        <v>20</v>
      </c>
      <c r="M413" t="s">
        <v>21</v>
      </c>
      <c r="N413" t="s">
        <v>22</v>
      </c>
    </row>
    <row r="414" spans="1:14" x14ac:dyDescent="0.3">
      <c r="A414" s="1">
        <v>45911</v>
      </c>
      <c r="B414" t="s">
        <v>47</v>
      </c>
      <c r="C414" t="s">
        <v>48</v>
      </c>
      <c r="D414" t="s">
        <v>49</v>
      </c>
      <c r="E414" t="s">
        <v>50</v>
      </c>
      <c r="F414" t="s">
        <v>18</v>
      </c>
      <c r="G414" t="s">
        <v>23</v>
      </c>
      <c r="H414">
        <v>63431.45</v>
      </c>
      <c r="I414">
        <v>61554.39</v>
      </c>
      <c r="J414">
        <v>-2.96</v>
      </c>
      <c r="K414">
        <v>2882158</v>
      </c>
      <c r="L414" t="s">
        <v>20</v>
      </c>
      <c r="M414" t="s">
        <v>21</v>
      </c>
      <c r="N414" t="s">
        <v>22</v>
      </c>
    </row>
    <row r="415" spans="1:14" x14ac:dyDescent="0.3">
      <c r="A415" s="1">
        <v>45912</v>
      </c>
      <c r="B415" t="s">
        <v>47</v>
      </c>
      <c r="C415" t="s">
        <v>48</v>
      </c>
      <c r="D415" t="s">
        <v>49</v>
      </c>
      <c r="E415" t="s">
        <v>50</v>
      </c>
      <c r="F415" t="s">
        <v>18</v>
      </c>
      <c r="G415" t="s">
        <v>19</v>
      </c>
      <c r="H415">
        <v>61554.39</v>
      </c>
      <c r="I415">
        <v>66355.63</v>
      </c>
      <c r="J415">
        <v>7.8</v>
      </c>
      <c r="K415">
        <v>4888307</v>
      </c>
      <c r="L415" t="s">
        <v>24</v>
      </c>
      <c r="M415" t="s">
        <v>25</v>
      </c>
      <c r="N415" t="s">
        <v>26</v>
      </c>
    </row>
    <row r="416" spans="1:14" x14ac:dyDescent="0.3">
      <c r="A416" s="1">
        <v>45915</v>
      </c>
      <c r="B416" t="s">
        <v>47</v>
      </c>
      <c r="C416" t="s">
        <v>48</v>
      </c>
      <c r="D416" t="s">
        <v>49</v>
      </c>
      <c r="E416" t="s">
        <v>50</v>
      </c>
      <c r="F416" t="s">
        <v>18</v>
      </c>
      <c r="G416" t="s">
        <v>29</v>
      </c>
      <c r="H416">
        <v>66355.63</v>
      </c>
      <c r="I416">
        <v>67258.179999999993</v>
      </c>
      <c r="J416">
        <v>1.36</v>
      </c>
      <c r="K416">
        <v>3544583</v>
      </c>
      <c r="L416" t="s">
        <v>20</v>
      </c>
      <c r="M416" t="s">
        <v>21</v>
      </c>
      <c r="N416" t="s">
        <v>22</v>
      </c>
    </row>
    <row r="417" spans="1:14" x14ac:dyDescent="0.3">
      <c r="A417" s="1">
        <v>45916</v>
      </c>
      <c r="B417" t="s">
        <v>47</v>
      </c>
      <c r="C417" t="s">
        <v>48</v>
      </c>
      <c r="D417" t="s">
        <v>49</v>
      </c>
      <c r="E417" t="s">
        <v>50</v>
      </c>
      <c r="F417" t="s">
        <v>18</v>
      </c>
      <c r="G417" t="s">
        <v>19</v>
      </c>
      <c r="H417">
        <v>67258.179999999993</v>
      </c>
      <c r="I417">
        <v>67246.3</v>
      </c>
      <c r="J417">
        <v>-0.02</v>
      </c>
      <c r="K417">
        <v>2479941</v>
      </c>
      <c r="L417" t="s">
        <v>20</v>
      </c>
      <c r="M417" t="s">
        <v>21</v>
      </c>
      <c r="N417" t="s">
        <v>22</v>
      </c>
    </row>
    <row r="418" spans="1:14" x14ac:dyDescent="0.3">
      <c r="A418" s="1">
        <v>45917</v>
      </c>
      <c r="B418" t="s">
        <v>47</v>
      </c>
      <c r="C418" t="s">
        <v>48</v>
      </c>
      <c r="D418" t="s">
        <v>49</v>
      </c>
      <c r="E418" t="s">
        <v>50</v>
      </c>
      <c r="F418" t="s">
        <v>18</v>
      </c>
      <c r="G418" t="s">
        <v>29</v>
      </c>
      <c r="H418">
        <v>67246.3</v>
      </c>
      <c r="I418">
        <v>67143.08</v>
      </c>
      <c r="J418">
        <v>-0.15</v>
      </c>
      <c r="K418">
        <v>3456551</v>
      </c>
      <c r="L418" t="s">
        <v>20</v>
      </c>
      <c r="M418" t="s">
        <v>21</v>
      </c>
      <c r="N418" t="s">
        <v>22</v>
      </c>
    </row>
    <row r="419" spans="1:14" x14ac:dyDescent="0.3">
      <c r="A419" s="1">
        <v>45918</v>
      </c>
      <c r="B419" t="s">
        <v>47</v>
      </c>
      <c r="C419" t="s">
        <v>48</v>
      </c>
      <c r="D419" t="s">
        <v>49</v>
      </c>
      <c r="E419" t="s">
        <v>50</v>
      </c>
      <c r="F419" t="s">
        <v>18</v>
      </c>
      <c r="G419" t="s">
        <v>29</v>
      </c>
      <c r="H419">
        <v>67143.08</v>
      </c>
      <c r="I419">
        <v>66862.36</v>
      </c>
      <c r="J419">
        <v>-0.42</v>
      </c>
      <c r="K419">
        <v>1376074</v>
      </c>
      <c r="L419" t="s">
        <v>20</v>
      </c>
      <c r="M419" t="s">
        <v>21</v>
      </c>
      <c r="N419" t="s">
        <v>22</v>
      </c>
    </row>
    <row r="420" spans="1:14" x14ac:dyDescent="0.3">
      <c r="A420" s="1">
        <v>45919</v>
      </c>
      <c r="B420" t="s">
        <v>47</v>
      </c>
      <c r="C420" t="s">
        <v>48</v>
      </c>
      <c r="D420" t="s">
        <v>49</v>
      </c>
      <c r="E420" t="s">
        <v>50</v>
      </c>
      <c r="F420" t="s">
        <v>18</v>
      </c>
      <c r="G420" t="s">
        <v>27</v>
      </c>
      <c r="H420">
        <v>66862.36</v>
      </c>
      <c r="I420">
        <v>66354.600000000006</v>
      </c>
      <c r="J420">
        <v>-0.76</v>
      </c>
      <c r="K420">
        <v>2903742</v>
      </c>
      <c r="L420" t="s">
        <v>20</v>
      </c>
      <c r="M420" t="s">
        <v>21</v>
      </c>
      <c r="N420" t="s">
        <v>22</v>
      </c>
    </row>
    <row r="421" spans="1:14" x14ac:dyDescent="0.3">
      <c r="A421" s="1">
        <v>45922</v>
      </c>
      <c r="B421" t="s">
        <v>47</v>
      </c>
      <c r="C421" t="s">
        <v>48</v>
      </c>
      <c r="D421" t="s">
        <v>49</v>
      </c>
      <c r="E421" t="s">
        <v>50</v>
      </c>
      <c r="F421" t="s">
        <v>18</v>
      </c>
      <c r="G421" t="s">
        <v>23</v>
      </c>
      <c r="H421">
        <v>66354.600000000006</v>
      </c>
      <c r="I421">
        <v>65235.360000000001</v>
      </c>
      <c r="J421">
        <v>-1.69</v>
      </c>
      <c r="K421">
        <v>2947178</v>
      </c>
      <c r="L421" t="s">
        <v>20</v>
      </c>
      <c r="M421" t="s">
        <v>21</v>
      </c>
      <c r="N421" t="s">
        <v>22</v>
      </c>
    </row>
    <row r="422" spans="1:14" x14ac:dyDescent="0.3">
      <c r="A422" s="1">
        <v>45839</v>
      </c>
      <c r="B422" t="s">
        <v>51</v>
      </c>
      <c r="C422" t="s">
        <v>52</v>
      </c>
      <c r="D422" t="s">
        <v>53</v>
      </c>
      <c r="E422" t="s">
        <v>54</v>
      </c>
      <c r="F422" t="s">
        <v>18</v>
      </c>
      <c r="G422" t="s">
        <v>27</v>
      </c>
      <c r="H422">
        <v>72</v>
      </c>
      <c r="I422">
        <v>71.36</v>
      </c>
      <c r="J422">
        <v>-0.89</v>
      </c>
      <c r="K422">
        <v>4761471</v>
      </c>
      <c r="L422" t="s">
        <v>20</v>
      </c>
      <c r="M422" t="s">
        <v>21</v>
      </c>
      <c r="N422" t="s">
        <v>22</v>
      </c>
    </row>
    <row r="423" spans="1:14" x14ac:dyDescent="0.3">
      <c r="A423" s="1">
        <v>45840</v>
      </c>
      <c r="B423" t="s">
        <v>51</v>
      </c>
      <c r="C423" t="s">
        <v>52</v>
      </c>
      <c r="D423" t="s">
        <v>53</v>
      </c>
      <c r="E423" t="s">
        <v>54</v>
      </c>
      <c r="F423" t="s">
        <v>18</v>
      </c>
      <c r="G423" t="s">
        <v>19</v>
      </c>
      <c r="H423">
        <v>71.36</v>
      </c>
      <c r="I423">
        <v>71.05</v>
      </c>
      <c r="J423">
        <v>-0.43</v>
      </c>
      <c r="K423">
        <v>2293715</v>
      </c>
      <c r="L423" t="s">
        <v>20</v>
      </c>
      <c r="M423" t="s">
        <v>21</v>
      </c>
      <c r="N423" t="s">
        <v>22</v>
      </c>
    </row>
    <row r="424" spans="1:14" x14ac:dyDescent="0.3">
      <c r="A424" s="1">
        <v>45841</v>
      </c>
      <c r="B424" t="s">
        <v>51</v>
      </c>
      <c r="C424" t="s">
        <v>52</v>
      </c>
      <c r="D424" t="s">
        <v>53</v>
      </c>
      <c r="E424" t="s">
        <v>54</v>
      </c>
      <c r="F424" t="s">
        <v>18</v>
      </c>
      <c r="G424" t="s">
        <v>27</v>
      </c>
      <c r="H424">
        <v>71.05</v>
      </c>
      <c r="I424">
        <v>70.62</v>
      </c>
      <c r="J424">
        <v>-0.6</v>
      </c>
      <c r="K424">
        <v>2484474</v>
      </c>
      <c r="L424" t="s">
        <v>20</v>
      </c>
      <c r="M424" t="s">
        <v>21</v>
      </c>
      <c r="N424" t="s">
        <v>22</v>
      </c>
    </row>
    <row r="425" spans="1:14" x14ac:dyDescent="0.3">
      <c r="A425" s="1">
        <v>45842</v>
      </c>
      <c r="B425" t="s">
        <v>51</v>
      </c>
      <c r="C425" t="s">
        <v>52</v>
      </c>
      <c r="D425" t="s">
        <v>53</v>
      </c>
      <c r="E425" t="s">
        <v>54</v>
      </c>
      <c r="F425" t="s">
        <v>18</v>
      </c>
      <c r="G425" t="s">
        <v>27</v>
      </c>
      <c r="H425">
        <v>70.62</v>
      </c>
      <c r="I425">
        <v>71.239999999999995</v>
      </c>
      <c r="J425">
        <v>0.87</v>
      </c>
      <c r="K425">
        <v>1389657</v>
      </c>
      <c r="L425" t="s">
        <v>20</v>
      </c>
      <c r="M425" t="s">
        <v>21</v>
      </c>
      <c r="N425" t="s">
        <v>22</v>
      </c>
    </row>
    <row r="426" spans="1:14" x14ac:dyDescent="0.3">
      <c r="A426" s="1">
        <v>45845</v>
      </c>
      <c r="B426" t="s">
        <v>51</v>
      </c>
      <c r="C426" t="s">
        <v>52</v>
      </c>
      <c r="D426" t="s">
        <v>53</v>
      </c>
      <c r="E426" t="s">
        <v>54</v>
      </c>
      <c r="F426" t="s">
        <v>18</v>
      </c>
      <c r="G426" t="s">
        <v>29</v>
      </c>
      <c r="H426">
        <v>71.239999999999995</v>
      </c>
      <c r="I426">
        <v>71.98</v>
      </c>
      <c r="J426">
        <v>1.04</v>
      </c>
      <c r="K426">
        <v>1642443</v>
      </c>
      <c r="L426" t="s">
        <v>20</v>
      </c>
      <c r="M426" t="s">
        <v>21</v>
      </c>
      <c r="N426" t="s">
        <v>22</v>
      </c>
    </row>
    <row r="427" spans="1:14" x14ac:dyDescent="0.3">
      <c r="A427" s="1">
        <v>45846</v>
      </c>
      <c r="B427" t="s">
        <v>51</v>
      </c>
      <c r="C427" t="s">
        <v>52</v>
      </c>
      <c r="D427" t="s">
        <v>53</v>
      </c>
      <c r="E427" t="s">
        <v>54</v>
      </c>
      <c r="F427" t="s">
        <v>18</v>
      </c>
      <c r="G427" t="s">
        <v>23</v>
      </c>
      <c r="H427">
        <v>71.98</v>
      </c>
      <c r="I427">
        <v>71.98</v>
      </c>
      <c r="J427">
        <v>0</v>
      </c>
      <c r="K427">
        <v>4233899</v>
      </c>
      <c r="L427" t="s">
        <v>20</v>
      </c>
      <c r="M427" t="s">
        <v>21</v>
      </c>
      <c r="N427" t="s">
        <v>22</v>
      </c>
    </row>
    <row r="428" spans="1:14" x14ac:dyDescent="0.3">
      <c r="A428" s="1">
        <v>45847</v>
      </c>
      <c r="B428" t="s">
        <v>51</v>
      </c>
      <c r="C428" t="s">
        <v>52</v>
      </c>
      <c r="D428" t="s">
        <v>53</v>
      </c>
      <c r="E428" t="s">
        <v>54</v>
      </c>
      <c r="F428" t="s">
        <v>18</v>
      </c>
      <c r="G428" t="s">
        <v>29</v>
      </c>
      <c r="H428">
        <v>71.98</v>
      </c>
      <c r="I428">
        <v>71.97</v>
      </c>
      <c r="J428">
        <v>-0.01</v>
      </c>
      <c r="K428">
        <v>3348754</v>
      </c>
      <c r="L428" t="s">
        <v>20</v>
      </c>
      <c r="M428" t="s">
        <v>21</v>
      </c>
      <c r="N428" t="s">
        <v>22</v>
      </c>
    </row>
    <row r="429" spans="1:14" x14ac:dyDescent="0.3">
      <c r="A429" s="1">
        <v>45848</v>
      </c>
      <c r="B429" t="s">
        <v>51</v>
      </c>
      <c r="C429" t="s">
        <v>52</v>
      </c>
      <c r="D429" t="s">
        <v>53</v>
      </c>
      <c r="E429" t="s">
        <v>54</v>
      </c>
      <c r="F429" t="s">
        <v>18</v>
      </c>
      <c r="G429" t="s">
        <v>27</v>
      </c>
      <c r="H429">
        <v>71.97</v>
      </c>
      <c r="I429">
        <v>72.78</v>
      </c>
      <c r="J429">
        <v>1.1200000000000001</v>
      </c>
      <c r="K429">
        <v>3010298</v>
      </c>
      <c r="L429" t="s">
        <v>20</v>
      </c>
      <c r="M429" t="s">
        <v>21</v>
      </c>
      <c r="N429" t="s">
        <v>22</v>
      </c>
    </row>
    <row r="430" spans="1:14" x14ac:dyDescent="0.3">
      <c r="A430" s="1">
        <v>45849</v>
      </c>
      <c r="B430" t="s">
        <v>51</v>
      </c>
      <c r="C430" t="s">
        <v>52</v>
      </c>
      <c r="D430" t="s">
        <v>53</v>
      </c>
      <c r="E430" t="s">
        <v>54</v>
      </c>
      <c r="F430" t="s">
        <v>18</v>
      </c>
      <c r="G430" t="s">
        <v>19</v>
      </c>
      <c r="H430">
        <v>72.78</v>
      </c>
      <c r="I430">
        <v>71.989999999999995</v>
      </c>
      <c r="J430">
        <v>-1.08</v>
      </c>
      <c r="K430">
        <v>3997568</v>
      </c>
      <c r="L430" t="s">
        <v>20</v>
      </c>
      <c r="M430" t="s">
        <v>21</v>
      </c>
      <c r="N430" t="s">
        <v>22</v>
      </c>
    </row>
    <row r="431" spans="1:14" x14ac:dyDescent="0.3">
      <c r="A431" s="1">
        <v>45852</v>
      </c>
      <c r="B431" t="s">
        <v>51</v>
      </c>
      <c r="C431" t="s">
        <v>52</v>
      </c>
      <c r="D431" t="s">
        <v>53</v>
      </c>
      <c r="E431" t="s">
        <v>54</v>
      </c>
      <c r="F431" t="s">
        <v>18</v>
      </c>
      <c r="G431" t="s">
        <v>29</v>
      </c>
      <c r="H431">
        <v>71.989999999999995</v>
      </c>
      <c r="I431">
        <v>72.06</v>
      </c>
      <c r="J431">
        <v>0.09</v>
      </c>
      <c r="K431">
        <v>3664884</v>
      </c>
      <c r="L431" t="s">
        <v>20</v>
      </c>
      <c r="M431" t="s">
        <v>21</v>
      </c>
      <c r="N431" t="s">
        <v>22</v>
      </c>
    </row>
    <row r="432" spans="1:14" x14ac:dyDescent="0.3">
      <c r="A432" s="1">
        <v>45853</v>
      </c>
      <c r="B432" t="s">
        <v>51</v>
      </c>
      <c r="C432" t="s">
        <v>52</v>
      </c>
      <c r="D432" t="s">
        <v>53</v>
      </c>
      <c r="E432" t="s">
        <v>54</v>
      </c>
      <c r="F432" t="s">
        <v>18</v>
      </c>
      <c r="G432" t="s">
        <v>23</v>
      </c>
      <c r="H432">
        <v>72.06</v>
      </c>
      <c r="I432">
        <v>72.72</v>
      </c>
      <c r="J432">
        <v>0.92</v>
      </c>
      <c r="K432">
        <v>3432740</v>
      </c>
      <c r="L432" t="s">
        <v>20</v>
      </c>
      <c r="M432" t="s">
        <v>21</v>
      </c>
      <c r="N432" t="s">
        <v>22</v>
      </c>
    </row>
    <row r="433" spans="1:14" x14ac:dyDescent="0.3">
      <c r="A433" s="1">
        <v>45854</v>
      </c>
      <c r="B433" t="s">
        <v>51</v>
      </c>
      <c r="C433" t="s">
        <v>52</v>
      </c>
      <c r="D433" t="s">
        <v>53</v>
      </c>
      <c r="E433" t="s">
        <v>54</v>
      </c>
      <c r="F433" t="s">
        <v>18</v>
      </c>
      <c r="G433" t="s">
        <v>29</v>
      </c>
      <c r="H433">
        <v>72.72</v>
      </c>
      <c r="I433">
        <v>71.930000000000007</v>
      </c>
      <c r="J433">
        <v>-1.0900000000000001</v>
      </c>
      <c r="K433">
        <v>4762861</v>
      </c>
      <c r="L433" t="s">
        <v>20</v>
      </c>
      <c r="M433" t="s">
        <v>21</v>
      </c>
      <c r="N433" t="s">
        <v>22</v>
      </c>
    </row>
    <row r="434" spans="1:14" x14ac:dyDescent="0.3">
      <c r="A434" s="1">
        <v>45855</v>
      </c>
      <c r="B434" t="s">
        <v>51</v>
      </c>
      <c r="C434" t="s">
        <v>52</v>
      </c>
      <c r="D434" t="s">
        <v>53</v>
      </c>
      <c r="E434" t="s">
        <v>54</v>
      </c>
      <c r="F434" t="s">
        <v>18</v>
      </c>
      <c r="G434" t="s">
        <v>23</v>
      </c>
      <c r="H434">
        <v>71.930000000000007</v>
      </c>
      <c r="I434">
        <v>71.69</v>
      </c>
      <c r="J434">
        <v>-0.33</v>
      </c>
      <c r="K434">
        <v>3290928</v>
      </c>
      <c r="L434" t="s">
        <v>20</v>
      </c>
      <c r="M434" t="s">
        <v>21</v>
      </c>
      <c r="N434" t="s">
        <v>22</v>
      </c>
    </row>
    <row r="435" spans="1:14" x14ac:dyDescent="0.3">
      <c r="A435" s="1">
        <v>45856</v>
      </c>
      <c r="B435" t="s">
        <v>51</v>
      </c>
      <c r="C435" t="s">
        <v>52</v>
      </c>
      <c r="D435" t="s">
        <v>53</v>
      </c>
      <c r="E435" t="s">
        <v>54</v>
      </c>
      <c r="F435" t="s">
        <v>18</v>
      </c>
      <c r="G435" t="s">
        <v>27</v>
      </c>
      <c r="H435">
        <v>71.69</v>
      </c>
      <c r="I435">
        <v>72.14</v>
      </c>
      <c r="J435">
        <v>0.63</v>
      </c>
      <c r="K435">
        <v>1046659</v>
      </c>
      <c r="L435" t="s">
        <v>20</v>
      </c>
      <c r="M435" t="s">
        <v>21</v>
      </c>
      <c r="N435" t="s">
        <v>22</v>
      </c>
    </row>
    <row r="436" spans="1:14" x14ac:dyDescent="0.3">
      <c r="A436" s="1">
        <v>45859</v>
      </c>
      <c r="B436" t="s">
        <v>51</v>
      </c>
      <c r="C436" t="s">
        <v>52</v>
      </c>
      <c r="D436" t="s">
        <v>53</v>
      </c>
      <c r="E436" t="s">
        <v>54</v>
      </c>
      <c r="F436" t="s">
        <v>18</v>
      </c>
      <c r="G436" t="s">
        <v>23</v>
      </c>
      <c r="H436">
        <v>72.14</v>
      </c>
      <c r="I436">
        <v>72.97</v>
      </c>
      <c r="J436">
        <v>1.1399999999999999</v>
      </c>
      <c r="K436">
        <v>2894453</v>
      </c>
      <c r="L436" t="s">
        <v>20</v>
      </c>
      <c r="M436" t="s">
        <v>21</v>
      </c>
      <c r="N436" t="s">
        <v>22</v>
      </c>
    </row>
    <row r="437" spans="1:14" x14ac:dyDescent="0.3">
      <c r="A437" s="1">
        <v>45860</v>
      </c>
      <c r="B437" t="s">
        <v>51</v>
      </c>
      <c r="C437" t="s">
        <v>52</v>
      </c>
      <c r="D437" t="s">
        <v>53</v>
      </c>
      <c r="E437" t="s">
        <v>54</v>
      </c>
      <c r="F437" t="s">
        <v>18</v>
      </c>
      <c r="G437" t="s">
        <v>29</v>
      </c>
      <c r="H437">
        <v>72.97</v>
      </c>
      <c r="I437">
        <v>73.41</v>
      </c>
      <c r="J437">
        <v>0.61</v>
      </c>
      <c r="K437">
        <v>4320829</v>
      </c>
      <c r="L437" t="s">
        <v>20</v>
      </c>
      <c r="M437" t="s">
        <v>21</v>
      </c>
      <c r="N437" t="s">
        <v>22</v>
      </c>
    </row>
    <row r="438" spans="1:14" x14ac:dyDescent="0.3">
      <c r="A438" s="1">
        <v>45861</v>
      </c>
      <c r="B438" t="s">
        <v>51</v>
      </c>
      <c r="C438" t="s">
        <v>52</v>
      </c>
      <c r="D438" t="s">
        <v>53</v>
      </c>
      <c r="E438" t="s">
        <v>54</v>
      </c>
      <c r="F438" t="s">
        <v>18</v>
      </c>
      <c r="G438" t="s">
        <v>27</v>
      </c>
      <c r="H438">
        <v>73.41</v>
      </c>
      <c r="I438">
        <v>73.41</v>
      </c>
      <c r="J438">
        <v>0</v>
      </c>
      <c r="K438">
        <v>1199544</v>
      </c>
      <c r="L438" t="s">
        <v>24</v>
      </c>
      <c r="M438" t="s">
        <v>25</v>
      </c>
      <c r="N438" t="s">
        <v>28</v>
      </c>
    </row>
    <row r="439" spans="1:14" x14ac:dyDescent="0.3">
      <c r="A439" s="1">
        <v>45862</v>
      </c>
      <c r="B439" t="s">
        <v>51</v>
      </c>
      <c r="C439" t="s">
        <v>52</v>
      </c>
      <c r="D439" t="s">
        <v>53</v>
      </c>
      <c r="E439" t="s">
        <v>54</v>
      </c>
      <c r="F439" t="s">
        <v>18</v>
      </c>
      <c r="G439" t="s">
        <v>29</v>
      </c>
      <c r="H439">
        <v>73.41</v>
      </c>
      <c r="I439">
        <v>73.95</v>
      </c>
      <c r="J439">
        <v>0.73</v>
      </c>
      <c r="K439">
        <v>1299404</v>
      </c>
      <c r="L439" t="s">
        <v>20</v>
      </c>
      <c r="M439" t="s">
        <v>21</v>
      </c>
      <c r="N439" t="s">
        <v>22</v>
      </c>
    </row>
    <row r="440" spans="1:14" x14ac:dyDescent="0.3">
      <c r="A440" s="1">
        <v>45863</v>
      </c>
      <c r="B440" t="s">
        <v>51</v>
      </c>
      <c r="C440" t="s">
        <v>52</v>
      </c>
      <c r="D440" t="s">
        <v>53</v>
      </c>
      <c r="E440" t="s">
        <v>54</v>
      </c>
      <c r="F440" t="s">
        <v>18</v>
      </c>
      <c r="G440" t="s">
        <v>23</v>
      </c>
      <c r="H440">
        <v>73.95</v>
      </c>
      <c r="I440">
        <v>73.64</v>
      </c>
      <c r="J440">
        <v>-0.41</v>
      </c>
      <c r="K440">
        <v>1413165</v>
      </c>
      <c r="L440" t="s">
        <v>20</v>
      </c>
      <c r="M440" t="s">
        <v>21</v>
      </c>
      <c r="N440" t="s">
        <v>22</v>
      </c>
    </row>
    <row r="441" spans="1:14" x14ac:dyDescent="0.3">
      <c r="A441" s="1">
        <v>45866</v>
      </c>
      <c r="B441" t="s">
        <v>51</v>
      </c>
      <c r="C441" t="s">
        <v>52</v>
      </c>
      <c r="D441" t="s">
        <v>53</v>
      </c>
      <c r="E441" t="s">
        <v>54</v>
      </c>
      <c r="F441" t="s">
        <v>18</v>
      </c>
      <c r="G441" t="s">
        <v>27</v>
      </c>
      <c r="H441">
        <v>73.64</v>
      </c>
      <c r="I441">
        <v>74.510000000000005</v>
      </c>
      <c r="J441">
        <v>1.18</v>
      </c>
      <c r="K441">
        <v>2560159</v>
      </c>
      <c r="L441" t="s">
        <v>20</v>
      </c>
      <c r="M441" t="s">
        <v>21</v>
      </c>
      <c r="N441" t="s">
        <v>22</v>
      </c>
    </row>
    <row r="442" spans="1:14" x14ac:dyDescent="0.3">
      <c r="A442" s="1">
        <v>45867</v>
      </c>
      <c r="B442" t="s">
        <v>51</v>
      </c>
      <c r="C442" t="s">
        <v>52</v>
      </c>
      <c r="D442" t="s">
        <v>53</v>
      </c>
      <c r="E442" t="s">
        <v>54</v>
      </c>
      <c r="F442" t="s">
        <v>18</v>
      </c>
      <c r="G442" t="s">
        <v>29</v>
      </c>
      <c r="H442">
        <v>74.510000000000005</v>
      </c>
      <c r="I442">
        <v>74.52</v>
      </c>
      <c r="J442">
        <v>0.02</v>
      </c>
      <c r="K442">
        <v>4159131</v>
      </c>
      <c r="L442" t="s">
        <v>20</v>
      </c>
      <c r="M442" t="s">
        <v>21</v>
      </c>
      <c r="N442" t="s">
        <v>22</v>
      </c>
    </row>
    <row r="443" spans="1:14" x14ac:dyDescent="0.3">
      <c r="A443" s="1">
        <v>45868</v>
      </c>
      <c r="B443" t="s">
        <v>51</v>
      </c>
      <c r="C443" t="s">
        <v>52</v>
      </c>
      <c r="D443" t="s">
        <v>53</v>
      </c>
      <c r="E443" t="s">
        <v>54</v>
      </c>
      <c r="F443" t="s">
        <v>18</v>
      </c>
      <c r="G443" t="s">
        <v>29</v>
      </c>
      <c r="H443">
        <v>74.52</v>
      </c>
      <c r="I443">
        <v>82.12</v>
      </c>
      <c r="J443">
        <v>10.199999999999999</v>
      </c>
      <c r="K443">
        <v>969429</v>
      </c>
      <c r="L443" t="s">
        <v>24</v>
      </c>
      <c r="M443" t="s">
        <v>25</v>
      </c>
      <c r="N443" t="s">
        <v>26</v>
      </c>
    </row>
    <row r="444" spans="1:14" x14ac:dyDescent="0.3">
      <c r="A444" s="1">
        <v>45869</v>
      </c>
      <c r="B444" t="s">
        <v>51</v>
      </c>
      <c r="C444" t="s">
        <v>52</v>
      </c>
      <c r="D444" t="s">
        <v>53</v>
      </c>
      <c r="E444" t="s">
        <v>54</v>
      </c>
      <c r="F444" t="s">
        <v>18</v>
      </c>
      <c r="G444" t="s">
        <v>27</v>
      </c>
      <c r="H444">
        <v>82.12</v>
      </c>
      <c r="I444">
        <v>82.29</v>
      </c>
      <c r="J444">
        <v>0.2</v>
      </c>
      <c r="K444">
        <v>273532</v>
      </c>
      <c r="L444" t="s">
        <v>20</v>
      </c>
      <c r="M444" t="s">
        <v>21</v>
      </c>
      <c r="N444" t="s">
        <v>22</v>
      </c>
    </row>
    <row r="445" spans="1:14" x14ac:dyDescent="0.3">
      <c r="A445" s="1">
        <v>45870</v>
      </c>
      <c r="B445" t="s">
        <v>51</v>
      </c>
      <c r="C445" t="s">
        <v>52</v>
      </c>
      <c r="D445" t="s">
        <v>53</v>
      </c>
      <c r="E445" t="s">
        <v>54</v>
      </c>
      <c r="F445" t="s">
        <v>18</v>
      </c>
      <c r="G445" t="s">
        <v>27</v>
      </c>
      <c r="H445">
        <v>82.29</v>
      </c>
      <c r="I445">
        <v>81.83</v>
      </c>
      <c r="J445">
        <v>-0.56000000000000005</v>
      </c>
      <c r="K445">
        <v>4902594</v>
      </c>
      <c r="L445" t="s">
        <v>20</v>
      </c>
      <c r="M445" t="s">
        <v>21</v>
      </c>
      <c r="N445" t="s">
        <v>22</v>
      </c>
    </row>
    <row r="446" spans="1:14" x14ac:dyDescent="0.3">
      <c r="A446" s="1">
        <v>45873</v>
      </c>
      <c r="B446" t="s">
        <v>51</v>
      </c>
      <c r="C446" t="s">
        <v>52</v>
      </c>
      <c r="D446" t="s">
        <v>53</v>
      </c>
      <c r="E446" t="s">
        <v>54</v>
      </c>
      <c r="F446" t="s">
        <v>18</v>
      </c>
      <c r="G446" t="s">
        <v>23</v>
      </c>
      <c r="H446">
        <v>81.83</v>
      </c>
      <c r="I446">
        <v>82.26</v>
      </c>
      <c r="J446">
        <v>0.53</v>
      </c>
      <c r="K446">
        <v>1480358</v>
      </c>
      <c r="L446" t="s">
        <v>20</v>
      </c>
      <c r="M446" t="s">
        <v>21</v>
      </c>
      <c r="N446" t="s">
        <v>22</v>
      </c>
    </row>
    <row r="447" spans="1:14" x14ac:dyDescent="0.3">
      <c r="A447" s="1">
        <v>45874</v>
      </c>
      <c r="B447" t="s">
        <v>51</v>
      </c>
      <c r="C447" t="s">
        <v>52</v>
      </c>
      <c r="D447" t="s">
        <v>53</v>
      </c>
      <c r="E447" t="s">
        <v>54</v>
      </c>
      <c r="F447" t="s">
        <v>18</v>
      </c>
      <c r="G447" t="s">
        <v>27</v>
      </c>
      <c r="H447">
        <v>82.26</v>
      </c>
      <c r="I447">
        <v>81.569999999999993</v>
      </c>
      <c r="J447">
        <v>-0.85</v>
      </c>
      <c r="K447">
        <v>314832</v>
      </c>
      <c r="L447" t="s">
        <v>20</v>
      </c>
      <c r="M447" t="s">
        <v>21</v>
      </c>
      <c r="N447" t="s">
        <v>22</v>
      </c>
    </row>
    <row r="448" spans="1:14" x14ac:dyDescent="0.3">
      <c r="A448" s="1">
        <v>45875</v>
      </c>
      <c r="B448" t="s">
        <v>51</v>
      </c>
      <c r="C448" t="s">
        <v>52</v>
      </c>
      <c r="D448" t="s">
        <v>53</v>
      </c>
      <c r="E448" t="s">
        <v>54</v>
      </c>
      <c r="F448" t="s">
        <v>18</v>
      </c>
      <c r="G448" t="s">
        <v>19</v>
      </c>
      <c r="H448">
        <v>81.569999999999993</v>
      </c>
      <c r="I448">
        <v>80.959999999999994</v>
      </c>
      <c r="J448">
        <v>-0.74</v>
      </c>
      <c r="K448">
        <v>3562983</v>
      </c>
      <c r="L448" t="s">
        <v>20</v>
      </c>
      <c r="M448" t="s">
        <v>21</v>
      </c>
      <c r="N448" t="s">
        <v>22</v>
      </c>
    </row>
    <row r="449" spans="1:14" x14ac:dyDescent="0.3">
      <c r="A449" s="1">
        <v>45876</v>
      </c>
      <c r="B449" t="s">
        <v>51</v>
      </c>
      <c r="C449" t="s">
        <v>52</v>
      </c>
      <c r="D449" t="s">
        <v>53</v>
      </c>
      <c r="E449" t="s">
        <v>54</v>
      </c>
      <c r="F449" t="s">
        <v>18</v>
      </c>
      <c r="G449" t="s">
        <v>23</v>
      </c>
      <c r="H449">
        <v>80.959999999999994</v>
      </c>
      <c r="I449">
        <v>80.790000000000006</v>
      </c>
      <c r="J449">
        <v>-0.21</v>
      </c>
      <c r="K449">
        <v>4259567</v>
      </c>
      <c r="L449" t="s">
        <v>20</v>
      </c>
      <c r="M449" t="s">
        <v>21</v>
      </c>
      <c r="N449" t="s">
        <v>22</v>
      </c>
    </row>
    <row r="450" spans="1:14" x14ac:dyDescent="0.3">
      <c r="A450" s="1">
        <v>45877</v>
      </c>
      <c r="B450" t="s">
        <v>51</v>
      </c>
      <c r="C450" t="s">
        <v>52</v>
      </c>
      <c r="D450" t="s">
        <v>53</v>
      </c>
      <c r="E450" t="s">
        <v>54</v>
      </c>
      <c r="F450" t="s">
        <v>18</v>
      </c>
      <c r="G450" t="s">
        <v>27</v>
      </c>
      <c r="H450">
        <v>80.790000000000006</v>
      </c>
      <c r="I450">
        <v>81.510000000000005</v>
      </c>
      <c r="J450">
        <v>0.89</v>
      </c>
      <c r="K450">
        <v>572453</v>
      </c>
      <c r="L450" t="s">
        <v>20</v>
      </c>
      <c r="M450" t="s">
        <v>21</v>
      </c>
      <c r="N450" t="s">
        <v>22</v>
      </c>
    </row>
    <row r="451" spans="1:14" x14ac:dyDescent="0.3">
      <c r="A451" s="1">
        <v>45880</v>
      </c>
      <c r="B451" t="s">
        <v>51</v>
      </c>
      <c r="C451" t="s">
        <v>52</v>
      </c>
      <c r="D451" t="s">
        <v>53</v>
      </c>
      <c r="E451" t="s">
        <v>54</v>
      </c>
      <c r="F451" t="s">
        <v>18</v>
      </c>
      <c r="G451" t="s">
        <v>23</v>
      </c>
      <c r="H451">
        <v>81.510000000000005</v>
      </c>
      <c r="I451">
        <v>81.55</v>
      </c>
      <c r="J451">
        <v>0.04</v>
      </c>
      <c r="K451">
        <v>4062866</v>
      </c>
      <c r="L451" t="s">
        <v>20</v>
      </c>
      <c r="M451" t="s">
        <v>21</v>
      </c>
      <c r="N451" t="s">
        <v>22</v>
      </c>
    </row>
    <row r="452" spans="1:14" x14ac:dyDescent="0.3">
      <c r="A452" s="1">
        <v>45881</v>
      </c>
      <c r="B452" t="s">
        <v>51</v>
      </c>
      <c r="C452" t="s">
        <v>52</v>
      </c>
      <c r="D452" t="s">
        <v>53</v>
      </c>
      <c r="E452" t="s">
        <v>54</v>
      </c>
      <c r="F452" t="s">
        <v>18</v>
      </c>
      <c r="G452" t="s">
        <v>27</v>
      </c>
      <c r="H452">
        <v>81.55</v>
      </c>
      <c r="I452">
        <v>81.19</v>
      </c>
      <c r="J452">
        <v>-0.45</v>
      </c>
      <c r="K452">
        <v>4522193</v>
      </c>
      <c r="L452" t="s">
        <v>20</v>
      </c>
      <c r="M452" t="s">
        <v>21</v>
      </c>
      <c r="N452" t="s">
        <v>22</v>
      </c>
    </row>
    <row r="453" spans="1:14" x14ac:dyDescent="0.3">
      <c r="A453" s="1">
        <v>45882</v>
      </c>
      <c r="B453" t="s">
        <v>51</v>
      </c>
      <c r="C453" t="s">
        <v>52</v>
      </c>
      <c r="D453" t="s">
        <v>53</v>
      </c>
      <c r="E453" t="s">
        <v>54</v>
      </c>
      <c r="F453" t="s">
        <v>18</v>
      </c>
      <c r="G453" t="s">
        <v>29</v>
      </c>
      <c r="H453">
        <v>81.19</v>
      </c>
      <c r="I453">
        <v>81.28</v>
      </c>
      <c r="J453">
        <v>0.11</v>
      </c>
      <c r="K453">
        <v>2267630</v>
      </c>
      <c r="L453" t="s">
        <v>20</v>
      </c>
      <c r="M453" t="s">
        <v>21</v>
      </c>
      <c r="N453" t="s">
        <v>22</v>
      </c>
    </row>
    <row r="454" spans="1:14" x14ac:dyDescent="0.3">
      <c r="A454" s="1">
        <v>45883</v>
      </c>
      <c r="B454" t="s">
        <v>51</v>
      </c>
      <c r="C454" t="s">
        <v>52</v>
      </c>
      <c r="D454" t="s">
        <v>53</v>
      </c>
      <c r="E454" t="s">
        <v>54</v>
      </c>
      <c r="F454" t="s">
        <v>18</v>
      </c>
      <c r="G454" t="s">
        <v>27</v>
      </c>
      <c r="H454">
        <v>81.28</v>
      </c>
      <c r="I454">
        <v>80.680000000000007</v>
      </c>
      <c r="J454">
        <v>-0.74</v>
      </c>
      <c r="K454">
        <v>4731570</v>
      </c>
      <c r="L454" t="s">
        <v>20</v>
      </c>
      <c r="M454" t="s">
        <v>21</v>
      </c>
      <c r="N454" t="s">
        <v>22</v>
      </c>
    </row>
    <row r="455" spans="1:14" x14ac:dyDescent="0.3">
      <c r="A455" s="1">
        <v>45884</v>
      </c>
      <c r="B455" t="s">
        <v>51</v>
      </c>
      <c r="C455" t="s">
        <v>52</v>
      </c>
      <c r="D455" t="s">
        <v>53</v>
      </c>
      <c r="E455" t="s">
        <v>54</v>
      </c>
      <c r="F455" t="s">
        <v>18</v>
      </c>
      <c r="G455" t="s">
        <v>29</v>
      </c>
      <c r="H455">
        <v>80.680000000000007</v>
      </c>
      <c r="I455">
        <v>80.14</v>
      </c>
      <c r="J455">
        <v>-0.66</v>
      </c>
      <c r="K455">
        <v>2546571</v>
      </c>
      <c r="L455" t="s">
        <v>20</v>
      </c>
      <c r="M455" t="s">
        <v>21</v>
      </c>
      <c r="N455" t="s">
        <v>22</v>
      </c>
    </row>
    <row r="456" spans="1:14" x14ac:dyDescent="0.3">
      <c r="A456" s="1">
        <v>45887</v>
      </c>
      <c r="B456" t="s">
        <v>51</v>
      </c>
      <c r="C456" t="s">
        <v>52</v>
      </c>
      <c r="D456" t="s">
        <v>53</v>
      </c>
      <c r="E456" t="s">
        <v>54</v>
      </c>
      <c r="F456" t="s">
        <v>18</v>
      </c>
      <c r="G456" t="s">
        <v>29</v>
      </c>
      <c r="H456">
        <v>80.14</v>
      </c>
      <c r="I456">
        <v>80.540000000000006</v>
      </c>
      <c r="J456">
        <v>0.49</v>
      </c>
      <c r="K456">
        <v>4152055</v>
      </c>
      <c r="L456" t="s">
        <v>20</v>
      </c>
      <c r="M456" t="s">
        <v>21</v>
      </c>
      <c r="N456" t="s">
        <v>22</v>
      </c>
    </row>
    <row r="457" spans="1:14" x14ac:dyDescent="0.3">
      <c r="A457" s="1">
        <v>45888</v>
      </c>
      <c r="B457" t="s">
        <v>51</v>
      </c>
      <c r="C457" t="s">
        <v>52</v>
      </c>
      <c r="D457" t="s">
        <v>53</v>
      </c>
      <c r="E457" t="s">
        <v>54</v>
      </c>
      <c r="F457" t="s">
        <v>18</v>
      </c>
      <c r="G457" t="s">
        <v>29</v>
      </c>
      <c r="H457">
        <v>80.540000000000006</v>
      </c>
      <c r="I457">
        <v>80.5</v>
      </c>
      <c r="J457">
        <v>-0.05</v>
      </c>
      <c r="K457">
        <v>2343928</v>
      </c>
      <c r="L457" t="s">
        <v>20</v>
      </c>
      <c r="M457" t="s">
        <v>21</v>
      </c>
      <c r="N457" t="s">
        <v>22</v>
      </c>
    </row>
    <row r="458" spans="1:14" x14ac:dyDescent="0.3">
      <c r="A458" s="1">
        <v>45889</v>
      </c>
      <c r="B458" t="s">
        <v>51</v>
      </c>
      <c r="C458" t="s">
        <v>52</v>
      </c>
      <c r="D458" t="s">
        <v>53</v>
      </c>
      <c r="E458" t="s">
        <v>54</v>
      </c>
      <c r="F458" t="s">
        <v>18</v>
      </c>
      <c r="G458" t="s">
        <v>29</v>
      </c>
      <c r="H458">
        <v>80.5</v>
      </c>
      <c r="I458">
        <v>79.77</v>
      </c>
      <c r="J458">
        <v>-0.91</v>
      </c>
      <c r="K458">
        <v>3235105</v>
      </c>
      <c r="L458" t="s">
        <v>20</v>
      </c>
      <c r="M458" t="s">
        <v>21</v>
      </c>
      <c r="N458" t="s">
        <v>22</v>
      </c>
    </row>
    <row r="459" spans="1:14" x14ac:dyDescent="0.3">
      <c r="A459" s="1">
        <v>45890</v>
      </c>
      <c r="B459" t="s">
        <v>51</v>
      </c>
      <c r="C459" t="s">
        <v>52</v>
      </c>
      <c r="D459" t="s">
        <v>53</v>
      </c>
      <c r="E459" t="s">
        <v>54</v>
      </c>
      <c r="F459" t="s">
        <v>18</v>
      </c>
      <c r="G459" t="s">
        <v>27</v>
      </c>
      <c r="H459">
        <v>79.77</v>
      </c>
      <c r="I459">
        <v>80.38</v>
      </c>
      <c r="J459">
        <v>0.76</v>
      </c>
      <c r="K459">
        <v>1278730</v>
      </c>
      <c r="L459" t="s">
        <v>20</v>
      </c>
      <c r="M459" t="s">
        <v>21</v>
      </c>
      <c r="N459" t="s">
        <v>22</v>
      </c>
    </row>
    <row r="460" spans="1:14" x14ac:dyDescent="0.3">
      <c r="A460" s="1">
        <v>45891</v>
      </c>
      <c r="B460" t="s">
        <v>51</v>
      </c>
      <c r="C460" t="s">
        <v>52</v>
      </c>
      <c r="D460" t="s">
        <v>53</v>
      </c>
      <c r="E460" t="s">
        <v>54</v>
      </c>
      <c r="F460" t="s">
        <v>18</v>
      </c>
      <c r="G460" t="s">
        <v>29</v>
      </c>
      <c r="H460">
        <v>80.38</v>
      </c>
      <c r="I460">
        <v>79.489999999999995</v>
      </c>
      <c r="J460">
        <v>-1.1000000000000001</v>
      </c>
      <c r="K460">
        <v>712946</v>
      </c>
      <c r="L460" t="s">
        <v>20</v>
      </c>
      <c r="M460" t="s">
        <v>21</v>
      </c>
      <c r="N460" t="s">
        <v>22</v>
      </c>
    </row>
    <row r="461" spans="1:14" x14ac:dyDescent="0.3">
      <c r="A461" s="1">
        <v>45894</v>
      </c>
      <c r="B461" t="s">
        <v>51</v>
      </c>
      <c r="C461" t="s">
        <v>52</v>
      </c>
      <c r="D461" t="s">
        <v>53</v>
      </c>
      <c r="E461" t="s">
        <v>54</v>
      </c>
      <c r="F461" t="s">
        <v>18</v>
      </c>
      <c r="G461" t="s">
        <v>29</v>
      </c>
      <c r="H461">
        <v>79.489999999999995</v>
      </c>
      <c r="I461">
        <v>80.3</v>
      </c>
      <c r="J461">
        <v>1.02</v>
      </c>
      <c r="K461">
        <v>4068808</v>
      </c>
      <c r="L461" t="s">
        <v>20</v>
      </c>
      <c r="M461" t="s">
        <v>21</v>
      </c>
      <c r="N461" t="s">
        <v>22</v>
      </c>
    </row>
    <row r="462" spans="1:14" x14ac:dyDescent="0.3">
      <c r="A462" s="1">
        <v>45895</v>
      </c>
      <c r="B462" t="s">
        <v>51</v>
      </c>
      <c r="C462" t="s">
        <v>52</v>
      </c>
      <c r="D462" t="s">
        <v>53</v>
      </c>
      <c r="E462" t="s">
        <v>54</v>
      </c>
      <c r="F462" t="s">
        <v>18</v>
      </c>
      <c r="G462" t="s">
        <v>23</v>
      </c>
      <c r="H462">
        <v>80.3</v>
      </c>
      <c r="I462">
        <v>79.73</v>
      </c>
      <c r="J462">
        <v>-0.72</v>
      </c>
      <c r="K462">
        <v>4764548</v>
      </c>
      <c r="L462" t="s">
        <v>20</v>
      </c>
      <c r="M462" t="s">
        <v>21</v>
      </c>
      <c r="N462" t="s">
        <v>22</v>
      </c>
    </row>
    <row r="463" spans="1:14" x14ac:dyDescent="0.3">
      <c r="A463" s="1">
        <v>45896</v>
      </c>
      <c r="B463" t="s">
        <v>51</v>
      </c>
      <c r="C463" t="s">
        <v>52</v>
      </c>
      <c r="D463" t="s">
        <v>53</v>
      </c>
      <c r="E463" t="s">
        <v>54</v>
      </c>
      <c r="F463" t="s">
        <v>18</v>
      </c>
      <c r="G463" t="s">
        <v>29</v>
      </c>
      <c r="H463">
        <v>79.73</v>
      </c>
      <c r="I463">
        <v>79.03</v>
      </c>
      <c r="J463">
        <v>-0.87</v>
      </c>
      <c r="K463">
        <v>4972691</v>
      </c>
      <c r="L463" t="s">
        <v>20</v>
      </c>
      <c r="M463" t="s">
        <v>21</v>
      </c>
      <c r="N463" t="s">
        <v>22</v>
      </c>
    </row>
    <row r="464" spans="1:14" x14ac:dyDescent="0.3">
      <c r="A464" s="1">
        <v>45897</v>
      </c>
      <c r="B464" t="s">
        <v>51</v>
      </c>
      <c r="C464" t="s">
        <v>52</v>
      </c>
      <c r="D464" t="s">
        <v>53</v>
      </c>
      <c r="E464" t="s">
        <v>54</v>
      </c>
      <c r="F464" t="s">
        <v>18</v>
      </c>
      <c r="G464" t="s">
        <v>23</v>
      </c>
      <c r="H464">
        <v>79.03</v>
      </c>
      <c r="I464">
        <v>78.55</v>
      </c>
      <c r="J464">
        <v>-0.62</v>
      </c>
      <c r="K464">
        <v>4504698</v>
      </c>
      <c r="L464" t="s">
        <v>20</v>
      </c>
      <c r="M464" t="s">
        <v>21</v>
      </c>
      <c r="N464" t="s">
        <v>22</v>
      </c>
    </row>
    <row r="465" spans="1:14" x14ac:dyDescent="0.3">
      <c r="A465" s="1">
        <v>45898</v>
      </c>
      <c r="B465" t="s">
        <v>51</v>
      </c>
      <c r="C465" t="s">
        <v>52</v>
      </c>
      <c r="D465" t="s">
        <v>53</v>
      </c>
      <c r="E465" t="s">
        <v>54</v>
      </c>
      <c r="F465" t="s">
        <v>18</v>
      </c>
      <c r="G465" t="s">
        <v>23</v>
      </c>
      <c r="H465">
        <v>78.55</v>
      </c>
      <c r="I465">
        <v>78.81</v>
      </c>
      <c r="J465">
        <v>0.33</v>
      </c>
      <c r="K465">
        <v>3517023</v>
      </c>
      <c r="L465" t="s">
        <v>20</v>
      </c>
      <c r="M465" t="s">
        <v>21</v>
      </c>
      <c r="N465" t="s">
        <v>22</v>
      </c>
    </row>
    <row r="466" spans="1:14" x14ac:dyDescent="0.3">
      <c r="A466" s="1">
        <v>45901</v>
      </c>
      <c r="B466" t="s">
        <v>51</v>
      </c>
      <c r="C466" t="s">
        <v>52</v>
      </c>
      <c r="D466" t="s">
        <v>53</v>
      </c>
      <c r="E466" t="s">
        <v>54</v>
      </c>
      <c r="F466" t="s">
        <v>18</v>
      </c>
      <c r="G466" t="s">
        <v>29</v>
      </c>
      <c r="H466">
        <v>78.81</v>
      </c>
      <c r="I466">
        <v>79.22</v>
      </c>
      <c r="J466">
        <v>0.52</v>
      </c>
      <c r="K466">
        <v>1203157</v>
      </c>
      <c r="L466" t="s">
        <v>20</v>
      </c>
      <c r="M466" t="s">
        <v>21</v>
      </c>
      <c r="N466" t="s">
        <v>22</v>
      </c>
    </row>
    <row r="467" spans="1:14" x14ac:dyDescent="0.3">
      <c r="A467" s="1">
        <v>45902</v>
      </c>
      <c r="B467" t="s">
        <v>51</v>
      </c>
      <c r="C467" t="s">
        <v>52</v>
      </c>
      <c r="D467" t="s">
        <v>53</v>
      </c>
      <c r="E467" t="s">
        <v>54</v>
      </c>
      <c r="F467" t="s">
        <v>18</v>
      </c>
      <c r="G467" t="s">
        <v>19</v>
      </c>
      <c r="H467">
        <v>79.22</v>
      </c>
      <c r="I467">
        <v>80.099999999999994</v>
      </c>
      <c r="J467">
        <v>1.1100000000000001</v>
      </c>
      <c r="K467">
        <v>1374905</v>
      </c>
      <c r="L467" t="s">
        <v>20</v>
      </c>
      <c r="M467" t="s">
        <v>21</v>
      </c>
      <c r="N467" t="s">
        <v>22</v>
      </c>
    </row>
    <row r="468" spans="1:14" x14ac:dyDescent="0.3">
      <c r="A468" s="1">
        <v>45903</v>
      </c>
      <c r="B468" t="s">
        <v>51</v>
      </c>
      <c r="C468" t="s">
        <v>52</v>
      </c>
      <c r="D468" t="s">
        <v>53</v>
      </c>
      <c r="E468" t="s">
        <v>54</v>
      </c>
      <c r="F468" t="s">
        <v>18</v>
      </c>
      <c r="G468" t="s">
        <v>27</v>
      </c>
      <c r="H468">
        <v>80.099999999999994</v>
      </c>
      <c r="I468">
        <v>80.39</v>
      </c>
      <c r="J468">
        <v>0.37</v>
      </c>
      <c r="K468">
        <v>4040457</v>
      </c>
      <c r="L468" t="s">
        <v>20</v>
      </c>
      <c r="M468" t="s">
        <v>21</v>
      </c>
      <c r="N468" t="s">
        <v>22</v>
      </c>
    </row>
    <row r="469" spans="1:14" x14ac:dyDescent="0.3">
      <c r="A469" s="1">
        <v>45904</v>
      </c>
      <c r="B469" t="s">
        <v>51</v>
      </c>
      <c r="C469" t="s">
        <v>52</v>
      </c>
      <c r="D469" t="s">
        <v>53</v>
      </c>
      <c r="E469" t="s">
        <v>54</v>
      </c>
      <c r="F469" t="s">
        <v>18</v>
      </c>
      <c r="G469" t="s">
        <v>27</v>
      </c>
      <c r="H469">
        <v>80.39</v>
      </c>
      <c r="I469">
        <v>80.680000000000007</v>
      </c>
      <c r="J469">
        <v>0.36</v>
      </c>
      <c r="K469">
        <v>2459586</v>
      </c>
      <c r="L469" t="s">
        <v>20</v>
      </c>
      <c r="M469" t="s">
        <v>21</v>
      </c>
      <c r="N469" t="s">
        <v>22</v>
      </c>
    </row>
    <row r="470" spans="1:14" x14ac:dyDescent="0.3">
      <c r="A470" s="1">
        <v>45905</v>
      </c>
      <c r="B470" t="s">
        <v>51</v>
      </c>
      <c r="C470" t="s">
        <v>52</v>
      </c>
      <c r="D470" t="s">
        <v>53</v>
      </c>
      <c r="E470" t="s">
        <v>54</v>
      </c>
      <c r="F470" t="s">
        <v>18</v>
      </c>
      <c r="G470" t="s">
        <v>29</v>
      </c>
      <c r="H470">
        <v>80.680000000000007</v>
      </c>
      <c r="I470">
        <v>80.27</v>
      </c>
      <c r="J470">
        <v>-0.52</v>
      </c>
      <c r="K470">
        <v>800450</v>
      </c>
      <c r="L470" t="s">
        <v>20</v>
      </c>
      <c r="M470" t="s">
        <v>21</v>
      </c>
      <c r="N470" t="s">
        <v>22</v>
      </c>
    </row>
    <row r="471" spans="1:14" x14ac:dyDescent="0.3">
      <c r="A471" s="1">
        <v>45908</v>
      </c>
      <c r="B471" t="s">
        <v>51</v>
      </c>
      <c r="C471" t="s">
        <v>52</v>
      </c>
      <c r="D471" t="s">
        <v>53</v>
      </c>
      <c r="E471" t="s">
        <v>54</v>
      </c>
      <c r="F471" t="s">
        <v>18</v>
      </c>
      <c r="G471" t="s">
        <v>23</v>
      </c>
      <c r="H471">
        <v>80.27</v>
      </c>
      <c r="I471">
        <v>80.34</v>
      </c>
      <c r="J471">
        <v>0.08</v>
      </c>
      <c r="K471">
        <v>362880</v>
      </c>
      <c r="L471" t="s">
        <v>20</v>
      </c>
      <c r="M471" t="s">
        <v>21</v>
      </c>
      <c r="N471" t="s">
        <v>22</v>
      </c>
    </row>
    <row r="472" spans="1:14" x14ac:dyDescent="0.3">
      <c r="A472" s="1">
        <v>45909</v>
      </c>
      <c r="B472" t="s">
        <v>51</v>
      </c>
      <c r="C472" t="s">
        <v>52</v>
      </c>
      <c r="D472" t="s">
        <v>53</v>
      </c>
      <c r="E472" t="s">
        <v>54</v>
      </c>
      <c r="F472" t="s">
        <v>18</v>
      </c>
      <c r="G472" t="s">
        <v>23</v>
      </c>
      <c r="H472">
        <v>80.34</v>
      </c>
      <c r="I472">
        <v>80.180000000000007</v>
      </c>
      <c r="J472">
        <v>-0.2</v>
      </c>
      <c r="K472">
        <v>354840</v>
      </c>
      <c r="L472" t="s">
        <v>20</v>
      </c>
      <c r="M472" t="s">
        <v>21</v>
      </c>
      <c r="N472" t="s">
        <v>22</v>
      </c>
    </row>
    <row r="473" spans="1:14" x14ac:dyDescent="0.3">
      <c r="A473" s="1">
        <v>45910</v>
      </c>
      <c r="B473" t="s">
        <v>51</v>
      </c>
      <c r="C473" t="s">
        <v>52</v>
      </c>
      <c r="D473" t="s">
        <v>53</v>
      </c>
      <c r="E473" t="s">
        <v>54</v>
      </c>
      <c r="F473" t="s">
        <v>18</v>
      </c>
      <c r="G473" t="s">
        <v>27</v>
      </c>
      <c r="H473">
        <v>80.180000000000007</v>
      </c>
      <c r="I473">
        <v>80.73</v>
      </c>
      <c r="J473">
        <v>0.69</v>
      </c>
      <c r="K473">
        <v>2478224</v>
      </c>
      <c r="L473" t="s">
        <v>20</v>
      </c>
      <c r="M473" t="s">
        <v>21</v>
      </c>
      <c r="N473" t="s">
        <v>22</v>
      </c>
    </row>
    <row r="474" spans="1:14" x14ac:dyDescent="0.3">
      <c r="A474" s="1">
        <v>45911</v>
      </c>
      <c r="B474" t="s">
        <v>51</v>
      </c>
      <c r="C474" t="s">
        <v>52</v>
      </c>
      <c r="D474" t="s">
        <v>53</v>
      </c>
      <c r="E474" t="s">
        <v>54</v>
      </c>
      <c r="F474" t="s">
        <v>18</v>
      </c>
      <c r="G474" t="s">
        <v>19</v>
      </c>
      <c r="H474">
        <v>80.73</v>
      </c>
      <c r="I474">
        <v>79.78</v>
      </c>
      <c r="J474">
        <v>-1.18</v>
      </c>
      <c r="K474">
        <v>950103</v>
      </c>
      <c r="L474" t="s">
        <v>20</v>
      </c>
      <c r="M474" t="s">
        <v>21</v>
      </c>
      <c r="N474" t="s">
        <v>22</v>
      </c>
    </row>
    <row r="475" spans="1:14" x14ac:dyDescent="0.3">
      <c r="A475" s="1">
        <v>45912</v>
      </c>
      <c r="B475" t="s">
        <v>51</v>
      </c>
      <c r="C475" t="s">
        <v>52</v>
      </c>
      <c r="D475" t="s">
        <v>53</v>
      </c>
      <c r="E475" t="s">
        <v>54</v>
      </c>
      <c r="F475" t="s">
        <v>18</v>
      </c>
      <c r="G475" t="s">
        <v>29</v>
      </c>
      <c r="H475">
        <v>79.78</v>
      </c>
      <c r="I475">
        <v>79.37</v>
      </c>
      <c r="J475">
        <v>-0.52</v>
      </c>
      <c r="K475">
        <v>4607534</v>
      </c>
      <c r="L475" t="s">
        <v>20</v>
      </c>
      <c r="M475" t="s">
        <v>21</v>
      </c>
      <c r="N475" t="s">
        <v>22</v>
      </c>
    </row>
    <row r="476" spans="1:14" x14ac:dyDescent="0.3">
      <c r="A476" s="1">
        <v>45915</v>
      </c>
      <c r="B476" t="s">
        <v>51</v>
      </c>
      <c r="C476" t="s">
        <v>52</v>
      </c>
      <c r="D476" t="s">
        <v>53</v>
      </c>
      <c r="E476" t="s">
        <v>54</v>
      </c>
      <c r="F476" t="s">
        <v>18</v>
      </c>
      <c r="G476" t="s">
        <v>27</v>
      </c>
      <c r="H476">
        <v>79.37</v>
      </c>
      <c r="I476">
        <v>80.11</v>
      </c>
      <c r="J476">
        <v>0.93</v>
      </c>
      <c r="K476">
        <v>4279642</v>
      </c>
      <c r="L476" t="s">
        <v>20</v>
      </c>
      <c r="M476" t="s">
        <v>21</v>
      </c>
      <c r="N476" t="s">
        <v>22</v>
      </c>
    </row>
    <row r="477" spans="1:14" x14ac:dyDescent="0.3">
      <c r="A477" s="1">
        <v>45916</v>
      </c>
      <c r="B477" t="s">
        <v>51</v>
      </c>
      <c r="C477" t="s">
        <v>52</v>
      </c>
      <c r="D477" t="s">
        <v>53</v>
      </c>
      <c r="E477" t="s">
        <v>54</v>
      </c>
      <c r="F477" t="s">
        <v>18</v>
      </c>
      <c r="G477" t="s">
        <v>27</v>
      </c>
      <c r="H477">
        <v>80.11</v>
      </c>
      <c r="I477">
        <v>79.67</v>
      </c>
      <c r="J477">
        <v>-0.55000000000000004</v>
      </c>
      <c r="K477">
        <v>2823979</v>
      </c>
      <c r="L477" t="s">
        <v>20</v>
      </c>
      <c r="M477" t="s">
        <v>21</v>
      </c>
      <c r="N477" t="s">
        <v>22</v>
      </c>
    </row>
    <row r="478" spans="1:14" x14ac:dyDescent="0.3">
      <c r="A478" s="1">
        <v>45917</v>
      </c>
      <c r="B478" t="s">
        <v>51</v>
      </c>
      <c r="C478" t="s">
        <v>52</v>
      </c>
      <c r="D478" t="s">
        <v>53</v>
      </c>
      <c r="E478" t="s">
        <v>54</v>
      </c>
      <c r="F478" t="s">
        <v>18</v>
      </c>
      <c r="G478" t="s">
        <v>23</v>
      </c>
      <c r="H478">
        <v>79.67</v>
      </c>
      <c r="I478">
        <v>80.12</v>
      </c>
      <c r="J478">
        <v>0.55000000000000004</v>
      </c>
      <c r="K478">
        <v>1611951</v>
      </c>
      <c r="L478" t="s">
        <v>20</v>
      </c>
      <c r="M478" t="s">
        <v>21</v>
      </c>
      <c r="N478" t="s">
        <v>22</v>
      </c>
    </row>
    <row r="479" spans="1:14" x14ac:dyDescent="0.3">
      <c r="A479" s="1">
        <v>45918</v>
      </c>
      <c r="B479" t="s">
        <v>51</v>
      </c>
      <c r="C479" t="s">
        <v>52</v>
      </c>
      <c r="D479" t="s">
        <v>53</v>
      </c>
      <c r="E479" t="s">
        <v>54</v>
      </c>
      <c r="F479" t="s">
        <v>18</v>
      </c>
      <c r="G479" t="s">
        <v>19</v>
      </c>
      <c r="H479">
        <v>80.12</v>
      </c>
      <c r="I479">
        <v>80.569999999999993</v>
      </c>
      <c r="J479">
        <v>0.56999999999999995</v>
      </c>
      <c r="K479">
        <v>4812894</v>
      </c>
      <c r="L479" t="s">
        <v>20</v>
      </c>
      <c r="M479" t="s">
        <v>21</v>
      </c>
      <c r="N479" t="s">
        <v>22</v>
      </c>
    </row>
    <row r="480" spans="1:14" x14ac:dyDescent="0.3">
      <c r="A480" s="1">
        <v>45919</v>
      </c>
      <c r="B480" t="s">
        <v>51</v>
      </c>
      <c r="C480" t="s">
        <v>52</v>
      </c>
      <c r="D480" t="s">
        <v>53</v>
      </c>
      <c r="E480" t="s">
        <v>54</v>
      </c>
      <c r="F480" t="s">
        <v>18</v>
      </c>
      <c r="G480" t="s">
        <v>23</v>
      </c>
      <c r="H480">
        <v>80.569999999999993</v>
      </c>
      <c r="I480">
        <v>79.94</v>
      </c>
      <c r="J480">
        <v>-0.78</v>
      </c>
      <c r="K480">
        <v>3451499</v>
      </c>
      <c r="L480" t="s">
        <v>20</v>
      </c>
      <c r="M480" t="s">
        <v>21</v>
      </c>
      <c r="N480" t="s">
        <v>22</v>
      </c>
    </row>
    <row r="481" spans="1:14" x14ac:dyDescent="0.3">
      <c r="A481" s="1">
        <v>45922</v>
      </c>
      <c r="B481" t="s">
        <v>51</v>
      </c>
      <c r="C481" t="s">
        <v>52</v>
      </c>
      <c r="D481" t="s">
        <v>53</v>
      </c>
      <c r="E481" t="s">
        <v>54</v>
      </c>
      <c r="F481" t="s">
        <v>18</v>
      </c>
      <c r="G481" t="s">
        <v>27</v>
      </c>
      <c r="H481">
        <v>79.94</v>
      </c>
      <c r="I481">
        <v>79.97</v>
      </c>
      <c r="J481">
        <v>0.04</v>
      </c>
      <c r="K481">
        <v>850148</v>
      </c>
      <c r="L481" t="s">
        <v>20</v>
      </c>
      <c r="M481" t="s">
        <v>21</v>
      </c>
      <c r="N48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9CA8-28A4-4A34-9B99-FA033EF9F0D1}">
  <dimension ref="A1:N26"/>
  <sheetViews>
    <sheetView topLeftCell="E1" workbookViewId="0">
      <selection activeCell="M4" sqref="M4"/>
    </sheetView>
  </sheetViews>
  <sheetFormatPr defaultRowHeight="14.4" x14ac:dyDescent="0.3"/>
  <cols>
    <col min="1" max="1" width="12.5546875" bestFit="1" customWidth="1"/>
    <col min="2" max="2" width="20.6640625" bestFit="1" customWidth="1"/>
    <col min="4" max="4" width="21.109375" bestFit="1" customWidth="1"/>
    <col min="5" max="5" width="24" bestFit="1" customWidth="1"/>
    <col min="7" max="7" width="15.21875" bestFit="1" customWidth="1"/>
    <col min="8" max="8" width="21.44140625" bestFit="1" customWidth="1"/>
    <col min="10" max="10" width="15.109375" bestFit="1" customWidth="1"/>
    <col min="11" max="11" width="21.44140625" bestFit="1" customWidth="1"/>
    <col min="13" max="13" width="33.21875" bestFit="1" customWidth="1"/>
    <col min="14" max="14" width="22.44140625" bestFit="1" customWidth="1"/>
  </cols>
  <sheetData>
    <row r="1" spans="1:14" x14ac:dyDescent="0.3">
      <c r="A1" s="2" t="s">
        <v>55</v>
      </c>
      <c r="B1" t="s">
        <v>57</v>
      </c>
      <c r="D1" s="2" t="s">
        <v>55</v>
      </c>
      <c r="E1" t="s">
        <v>58</v>
      </c>
      <c r="G1" s="2" t="s">
        <v>12</v>
      </c>
      <c r="H1" t="s">
        <v>25</v>
      </c>
      <c r="J1" s="2" t="s">
        <v>12</v>
      </c>
      <c r="K1" t="s">
        <v>25</v>
      </c>
      <c r="M1" s="2" t="s">
        <v>55</v>
      </c>
      <c r="N1" t="s">
        <v>60</v>
      </c>
    </row>
    <row r="2" spans="1:14" x14ac:dyDescent="0.3">
      <c r="A2" s="3" t="s">
        <v>24</v>
      </c>
      <c r="B2" s="4">
        <v>21</v>
      </c>
      <c r="D2" s="3" t="s">
        <v>26</v>
      </c>
      <c r="E2" s="4">
        <v>13</v>
      </c>
      <c r="M2" s="3" t="s">
        <v>15</v>
      </c>
      <c r="N2" s="4">
        <v>10.199999999999999</v>
      </c>
    </row>
    <row r="3" spans="1:14" x14ac:dyDescent="0.3">
      <c r="A3" s="3" t="s">
        <v>20</v>
      </c>
      <c r="B3" s="4">
        <v>459</v>
      </c>
      <c r="D3" s="3" t="s">
        <v>30</v>
      </c>
      <c r="E3" s="4">
        <v>3</v>
      </c>
      <c r="G3" s="2" t="s">
        <v>55</v>
      </c>
      <c r="H3" t="s">
        <v>59</v>
      </c>
      <c r="J3" s="2" t="s">
        <v>55</v>
      </c>
      <c r="K3" t="s">
        <v>59</v>
      </c>
      <c r="M3" s="5" t="s">
        <v>16</v>
      </c>
      <c r="N3" s="4">
        <v>10.199999999999999</v>
      </c>
    </row>
    <row r="4" spans="1:14" x14ac:dyDescent="0.3">
      <c r="A4" s="3" t="s">
        <v>56</v>
      </c>
      <c r="B4" s="4">
        <v>480</v>
      </c>
      <c r="D4" s="3" t="s">
        <v>28</v>
      </c>
      <c r="E4" s="4">
        <v>5</v>
      </c>
      <c r="G4" s="3" t="s">
        <v>50</v>
      </c>
      <c r="H4" s="4">
        <v>5</v>
      </c>
      <c r="J4" s="3" t="s">
        <v>19</v>
      </c>
      <c r="K4" s="4">
        <v>6</v>
      </c>
      <c r="M4" s="6" t="s">
        <v>17</v>
      </c>
      <c r="N4" s="4">
        <v>10.199999999999999</v>
      </c>
    </row>
    <row r="5" spans="1:14" x14ac:dyDescent="0.3">
      <c r="D5" s="3" t="s">
        <v>56</v>
      </c>
      <c r="E5" s="4">
        <v>21</v>
      </c>
      <c r="G5" s="3" t="s">
        <v>17</v>
      </c>
      <c r="H5" s="4">
        <v>10</v>
      </c>
      <c r="J5" s="3" t="s">
        <v>29</v>
      </c>
      <c r="K5" s="4">
        <v>4</v>
      </c>
      <c r="M5" s="3" t="s">
        <v>52</v>
      </c>
      <c r="N5" s="4">
        <v>10.199999999999999</v>
      </c>
    </row>
    <row r="6" spans="1:14" x14ac:dyDescent="0.3">
      <c r="G6" s="3" t="s">
        <v>43</v>
      </c>
      <c r="H6" s="4">
        <v>4</v>
      </c>
      <c r="J6" s="3" t="s">
        <v>27</v>
      </c>
      <c r="K6" s="4">
        <v>4</v>
      </c>
      <c r="M6" s="5" t="s">
        <v>53</v>
      </c>
      <c r="N6" s="4">
        <v>10.199999999999999</v>
      </c>
    </row>
    <row r="7" spans="1:14" x14ac:dyDescent="0.3">
      <c r="G7" s="3" t="s">
        <v>54</v>
      </c>
      <c r="H7" s="4">
        <v>2</v>
      </c>
      <c r="J7" s="3" t="s">
        <v>23</v>
      </c>
      <c r="K7" s="4">
        <v>7</v>
      </c>
      <c r="M7" s="6" t="s">
        <v>54</v>
      </c>
      <c r="N7" s="4">
        <v>10.199999999999999</v>
      </c>
    </row>
    <row r="8" spans="1:14" x14ac:dyDescent="0.3">
      <c r="G8" s="3" t="s">
        <v>56</v>
      </c>
      <c r="H8" s="4">
        <v>21</v>
      </c>
      <c r="J8" s="3" t="s">
        <v>56</v>
      </c>
      <c r="K8" s="4">
        <v>21</v>
      </c>
      <c r="M8" s="3" t="s">
        <v>48</v>
      </c>
      <c r="N8" s="4">
        <v>7.8</v>
      </c>
    </row>
    <row r="9" spans="1:14" x14ac:dyDescent="0.3">
      <c r="M9" s="5" t="s">
        <v>49</v>
      </c>
      <c r="N9" s="4">
        <v>7.8</v>
      </c>
    </row>
    <row r="10" spans="1:14" x14ac:dyDescent="0.3">
      <c r="M10" s="6" t="s">
        <v>50</v>
      </c>
      <c r="N10" s="4">
        <v>7.8</v>
      </c>
    </row>
    <row r="11" spans="1:14" x14ac:dyDescent="0.3">
      <c r="M11" s="3" t="s">
        <v>35</v>
      </c>
      <c r="N11" s="4">
        <v>10.199999999999999</v>
      </c>
    </row>
    <row r="12" spans="1:14" x14ac:dyDescent="0.3">
      <c r="M12" s="5" t="s">
        <v>36</v>
      </c>
      <c r="N12" s="4">
        <v>10.199999999999999</v>
      </c>
    </row>
    <row r="13" spans="1:14" x14ac:dyDescent="0.3">
      <c r="M13" s="6" t="s">
        <v>17</v>
      </c>
      <c r="N13" s="4">
        <v>10.199999999999999</v>
      </c>
    </row>
    <row r="14" spans="1:14" x14ac:dyDescent="0.3">
      <c r="M14" s="3" t="s">
        <v>32</v>
      </c>
      <c r="N14" s="4">
        <v>10.199999999999999</v>
      </c>
    </row>
    <row r="15" spans="1:14" x14ac:dyDescent="0.3">
      <c r="M15" s="5" t="s">
        <v>33</v>
      </c>
      <c r="N15" s="4">
        <v>10.199999999999999</v>
      </c>
    </row>
    <row r="16" spans="1:14" x14ac:dyDescent="0.3">
      <c r="M16" s="6" t="s">
        <v>17</v>
      </c>
      <c r="N16" s="4">
        <v>10.199999999999999</v>
      </c>
    </row>
    <row r="17" spans="13:14" x14ac:dyDescent="0.3">
      <c r="M17" s="3" t="s">
        <v>45</v>
      </c>
      <c r="N17" s="4">
        <v>10.199999999999999</v>
      </c>
    </row>
    <row r="18" spans="13:14" x14ac:dyDescent="0.3">
      <c r="M18" s="5" t="s">
        <v>46</v>
      </c>
      <c r="N18" s="4">
        <v>10.199999999999999</v>
      </c>
    </row>
    <row r="19" spans="13:14" x14ac:dyDescent="0.3">
      <c r="M19" s="6" t="s">
        <v>43</v>
      </c>
      <c r="N19" s="4">
        <v>10.199999999999999</v>
      </c>
    </row>
    <row r="20" spans="13:14" x14ac:dyDescent="0.3">
      <c r="M20" s="3" t="s">
        <v>41</v>
      </c>
      <c r="N20" s="4">
        <v>10.199999999999999</v>
      </c>
    </row>
    <row r="21" spans="13:14" x14ac:dyDescent="0.3">
      <c r="M21" s="5" t="s">
        <v>42</v>
      </c>
      <c r="N21" s="4">
        <v>10.199999999999999</v>
      </c>
    </row>
    <row r="22" spans="13:14" x14ac:dyDescent="0.3">
      <c r="M22" s="6" t="s">
        <v>43</v>
      </c>
      <c r="N22" s="4">
        <v>10.199999999999999</v>
      </c>
    </row>
    <row r="23" spans="13:14" x14ac:dyDescent="0.3">
      <c r="M23" s="3" t="s">
        <v>38</v>
      </c>
      <c r="N23" s="4">
        <v>2.8</v>
      </c>
    </row>
    <row r="24" spans="13:14" x14ac:dyDescent="0.3">
      <c r="M24" s="5" t="s">
        <v>39</v>
      </c>
      <c r="N24" s="4">
        <v>2.8</v>
      </c>
    </row>
    <row r="25" spans="13:14" x14ac:dyDescent="0.3">
      <c r="M25" s="6" t="s">
        <v>17</v>
      </c>
      <c r="N25" s="4">
        <v>2.8</v>
      </c>
    </row>
    <row r="26" spans="13:14" x14ac:dyDescent="0.3">
      <c r="M26" s="3" t="s">
        <v>56</v>
      </c>
      <c r="N26" s="4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5B24-78DD-4015-B938-A3EEA63F753F}">
  <dimension ref="A1:G6"/>
  <sheetViews>
    <sheetView tabSelected="1" zoomScale="60" zoomScaleNormal="60" workbookViewId="0">
      <selection activeCell="U4" sqref="U4"/>
    </sheetView>
  </sheetViews>
  <sheetFormatPr defaultRowHeight="14.4" x14ac:dyDescent="0.3"/>
  <cols>
    <col min="1" max="1" width="50.6640625" bestFit="1" customWidth="1"/>
    <col min="3" max="3" width="17.5546875" bestFit="1" customWidth="1"/>
    <col min="5" max="5" width="15.88671875" bestFit="1" customWidth="1"/>
    <col min="7" max="7" width="26.5546875" bestFit="1" customWidth="1"/>
  </cols>
  <sheetData>
    <row r="1" spans="1:7" ht="23.4" x14ac:dyDescent="0.45">
      <c r="A1" s="7" t="s">
        <v>61</v>
      </c>
      <c r="B1" s="8"/>
      <c r="C1" s="8"/>
      <c r="D1" s="8"/>
      <c r="E1" s="8"/>
      <c r="F1" s="8"/>
      <c r="G1" s="8"/>
    </row>
    <row r="2" spans="1:7" ht="23.4" x14ac:dyDescent="0.45">
      <c r="A2" s="8"/>
      <c r="B2" s="8"/>
      <c r="C2" s="8"/>
      <c r="D2" s="8"/>
      <c r="E2" s="8"/>
      <c r="F2" s="8"/>
      <c r="G2" s="8"/>
    </row>
    <row r="3" spans="1:7" ht="23.4" x14ac:dyDescent="0.45">
      <c r="A3" s="8" t="s">
        <v>62</v>
      </c>
      <c r="B3" s="8"/>
      <c r="C3" s="8" t="s">
        <v>63</v>
      </c>
      <c r="D3" s="8"/>
      <c r="E3" s="8" t="s">
        <v>64</v>
      </c>
      <c r="F3" s="8"/>
      <c r="G3" s="8" t="s">
        <v>65</v>
      </c>
    </row>
    <row r="4" spans="1:7" ht="23.4" x14ac:dyDescent="0.45">
      <c r="A4" s="8">
        <f>COUNTA(PricingData[ticker])</f>
        <v>480</v>
      </c>
      <c r="B4" s="8"/>
      <c r="C4" s="8">
        <f>COUNTIF(PricingData[exception_flag],"Yes")</f>
        <v>21</v>
      </c>
      <c r="D4" s="8"/>
      <c r="E4" s="8">
        <f>COUNTIF(PricingData[exception_flag],"Yes")/COUNTA(PricingData[ticker])</f>
        <v>4.3749999999999997E-2</v>
      </c>
      <c r="F4" s="8"/>
      <c r="G4" s="8" t="s">
        <v>66</v>
      </c>
    </row>
    <row r="5" spans="1:7" ht="23.4" x14ac:dyDescent="0.45">
      <c r="A5" s="8"/>
      <c r="B5" s="8"/>
      <c r="C5" s="8"/>
      <c r="D5" s="8"/>
      <c r="E5" s="8"/>
      <c r="F5" s="8"/>
      <c r="G5" s="8" t="s">
        <v>30</v>
      </c>
    </row>
    <row r="6" spans="1:7" ht="23.4" x14ac:dyDescent="0.45">
      <c r="A6" s="8"/>
      <c r="B6" s="8"/>
      <c r="C6" s="8"/>
      <c r="D6" s="8"/>
      <c r="E6" s="8"/>
      <c r="F6" s="8"/>
      <c r="G6" s="8" t="s">
        <v>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market_pricing_data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Bereket</dc:creator>
  <cp:lastModifiedBy>Bereket Daba</cp:lastModifiedBy>
  <dcterms:created xsi:type="dcterms:W3CDTF">2026-05-25T09:13:09Z</dcterms:created>
  <dcterms:modified xsi:type="dcterms:W3CDTF">2026-05-25T10:15:45Z</dcterms:modified>
</cp:coreProperties>
</file>